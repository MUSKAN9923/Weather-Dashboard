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ml.chartshap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Excel\"/>
    </mc:Choice>
  </mc:AlternateContent>
  <xr:revisionPtr revIDLastSave="0" documentId="13_ncr:1_{4F3E724D-C244-434A-8A19-ED8928D269EC}" xr6:coauthVersionLast="47" xr6:coauthVersionMax="47" xr10:uidLastSave="{00000000-0000-0000-0000-000000000000}"/>
  <bookViews>
    <workbookView xWindow="-108" yWindow="-108" windowWidth="23256" windowHeight="12456" activeTab="3" xr2:uid="{E4C31BB9-AAA1-4D05-9930-F65DBD7898E3}"/>
  </bookViews>
  <sheets>
    <sheet name="source data" sheetId="1" r:id="rId1"/>
    <sheet name="pivot table" sheetId="2" r:id="rId2"/>
    <sheet name="visualization" sheetId="3" r:id="rId3"/>
    <sheet name="Dashboard" sheetId="5" r:id="rId4"/>
  </sheets>
  <definedNames>
    <definedName name="_xlcn.WorksheetConnection_sourcedataA1N3001" hidden="1">'source data'!$A$1:$N$300</definedName>
    <definedName name="Slicer_Category">#N/A</definedName>
    <definedName name="Slicer_CustomerType">#N/A</definedName>
    <definedName name="Slicer_Months__Date">#N/A</definedName>
    <definedName name="Slicer_Payment">#N/A</definedName>
    <definedName name="Slicer_Region">#N/A</definedName>
    <definedName name="Slicer_Sub_Category">#N/A</definedName>
  </definedNames>
  <calcPr calcId="191029"/>
  <pivotCaches>
    <pivotCache cacheId="0" r:id="rId5"/>
    <pivotCache cacheId="1" r:id="rId6"/>
  </pivotCaches>
  <extLst>
    <ext xmlns:x14="http://schemas.microsoft.com/office/spreadsheetml/2009/9/main" uri="{876F7934-8845-4945-9796-88D515C7AA90}">
      <x14:pivotCaches>
        <pivotCache cacheId="2" r:id="rId7"/>
      </x14:pivotCaches>
    </ext>
    <ext xmlns:x14="http://schemas.microsoft.com/office/spreadsheetml/2009/9/main" uri="{BBE1A952-AA13-448e-AADC-164F8A28A991}">
      <x14:slicerCaches>
        <x14:slicerCache r:id="rId8"/>
        <x14:slicerCache r:id="rId9"/>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ource data!$A$1:$N$300"/>
        </x15:modelTables>
        <x15:extLst>
          <ext xmlns:x16="http://schemas.microsoft.com/office/spreadsheetml/2014/11/main" uri="{9835A34E-60A6-4A7C-AAB8-D5F71C897F49}">
            <x16:modelTimeGroupings>
              <x16:modelTimeGrouping tableName="Range"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B01FF0A-DFFE-4D57-BD1C-C341344D8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EB54FDB-6D2F-4C73-9EB9-8E0329552CD5}" name="WorksheetConnection_source data!$A$1:$N$300" type="102" refreshedVersion="8" minRefreshableVersion="5">
    <extLst>
      <ext xmlns:x15="http://schemas.microsoft.com/office/spreadsheetml/2010/11/main" uri="{DE250136-89BD-433C-8126-D09CA5730AF9}">
        <x15:connection id="Range" autoDelete="1">
          <x15:rangePr sourceName="_xlcn.WorksheetConnection_sourcedataA1N3001"/>
        </x15:connection>
      </ext>
    </extLst>
  </connection>
</connections>
</file>

<file path=xl/sharedStrings.xml><?xml version="1.0" encoding="utf-8"?>
<sst xmlns="http://schemas.openxmlformats.org/spreadsheetml/2006/main" count="2147" uniqueCount="344">
  <si>
    <t>OrderID</t>
  </si>
  <si>
    <t>Date</t>
  </si>
  <si>
    <t>Region</t>
  </si>
  <si>
    <t>Category</t>
  </si>
  <si>
    <t>Product</t>
  </si>
  <si>
    <t>Revenue</t>
  </si>
  <si>
    <t>Cost</t>
  </si>
  <si>
    <t>Profit</t>
  </si>
  <si>
    <t>CustomerType</t>
  </si>
  <si>
    <t>Payment</t>
  </si>
  <si>
    <t>East</t>
  </si>
  <si>
    <t>Office</t>
  </si>
  <si>
    <t>Pen</t>
  </si>
  <si>
    <t>Pen Model 960</t>
  </si>
  <si>
    <t>Amit</t>
  </si>
  <si>
    <t>Retail</t>
  </si>
  <si>
    <t>UPI</t>
  </si>
  <si>
    <t>West</t>
  </si>
  <si>
    <t>Furniture</t>
  </si>
  <si>
    <t>Chair</t>
  </si>
  <si>
    <t>Chair Model 632</t>
  </si>
  <si>
    <t>Neha</t>
  </si>
  <si>
    <t>Online</t>
  </si>
  <si>
    <t>South</t>
  </si>
  <si>
    <t>Chair Model 696</t>
  </si>
  <si>
    <t>Rahul</t>
  </si>
  <si>
    <t>Cash</t>
  </si>
  <si>
    <t>Chair Model 666</t>
  </si>
  <si>
    <t>Corporate</t>
  </si>
  <si>
    <t>Table</t>
  </si>
  <si>
    <t>Table Model 489</t>
  </si>
  <si>
    <t>Karan</t>
  </si>
  <si>
    <t>Electronics</t>
  </si>
  <si>
    <t>Laptop</t>
  </si>
  <si>
    <t>Laptop Model 501</t>
  </si>
  <si>
    <t>Desk</t>
  </si>
  <si>
    <t>Desk Model 104</t>
  </si>
  <si>
    <t>Sneha</t>
  </si>
  <si>
    <t>Paper</t>
  </si>
  <si>
    <t>Paper Model 571</t>
  </si>
  <si>
    <t>Net Banking</t>
  </si>
  <si>
    <t>North</t>
  </si>
  <si>
    <t>Paper Model 334</t>
  </si>
  <si>
    <t>Laptop Model 628</t>
  </si>
  <si>
    <t>Desk Model 737</t>
  </si>
  <si>
    <t>Paper Model 937</t>
  </si>
  <si>
    <t>Card</t>
  </si>
  <si>
    <t>Pen Model 993</t>
  </si>
  <si>
    <t>Paper Model 663</t>
  </si>
  <si>
    <t>Phone</t>
  </si>
  <si>
    <t>Phone Model 929</t>
  </si>
  <si>
    <t>Priya</t>
  </si>
  <si>
    <t>Printer</t>
  </si>
  <si>
    <t>Printer Model 983</t>
  </si>
  <si>
    <t>Pen Model 397</t>
  </si>
  <si>
    <t>Printer Model 880</t>
  </si>
  <si>
    <t>Desk Model 767</t>
  </si>
  <si>
    <t>Desk Model 359</t>
  </si>
  <si>
    <t>Printer Model 537</t>
  </si>
  <si>
    <t>Printer Model 346</t>
  </si>
  <si>
    <t>Desk Model 901</t>
  </si>
  <si>
    <t>Phone Model 261</t>
  </si>
  <si>
    <t>Phone Model 257</t>
  </si>
  <si>
    <t>Printer Model 259</t>
  </si>
  <si>
    <t>Printer Model 955</t>
  </si>
  <si>
    <t>Chair Model 199</t>
  </si>
  <si>
    <t>Table Model 786</t>
  </si>
  <si>
    <t>Table Model 544</t>
  </si>
  <si>
    <t>Laptop Model 967</t>
  </si>
  <si>
    <t>Headphones</t>
  </si>
  <si>
    <t>Headphones Model 975</t>
  </si>
  <si>
    <t>Chair Model 900</t>
  </si>
  <si>
    <t>Paper Model 749</t>
  </si>
  <si>
    <t>Desk Model 731</t>
  </si>
  <si>
    <t>Table Model 205</t>
  </si>
  <si>
    <t>Headphones Model 403</t>
  </si>
  <si>
    <t>Printer Model 703</t>
  </si>
  <si>
    <t>Phone Model 192</t>
  </si>
  <si>
    <t>Table Model 344</t>
  </si>
  <si>
    <t>Pen Model 294</t>
  </si>
  <si>
    <t>Printer Model 867</t>
  </si>
  <si>
    <t>Paper Model 580</t>
  </si>
  <si>
    <t>Table Model 186</t>
  </si>
  <si>
    <t>Table Model 226</t>
  </si>
  <si>
    <t>Paper Model 748</t>
  </si>
  <si>
    <t>Chair Model 912</t>
  </si>
  <si>
    <t>Laptop Model 677</t>
  </si>
  <si>
    <t>Paper Model 627</t>
  </si>
  <si>
    <t>Pen Model 425</t>
  </si>
  <si>
    <t>Phone Model 228</t>
  </si>
  <si>
    <t>Paper Model 703</t>
  </si>
  <si>
    <t>Desk Model 203</t>
  </si>
  <si>
    <t>Phone Model 983</t>
  </si>
  <si>
    <t>Laptop Model 331</t>
  </si>
  <si>
    <t>Phone Model 206</t>
  </si>
  <si>
    <t>Paper Model 302</t>
  </si>
  <si>
    <t>Printer Model 679</t>
  </si>
  <si>
    <t>Laptop Model 313</t>
  </si>
  <si>
    <t>Pen Model 182</t>
  </si>
  <si>
    <t>Desk Model 550</t>
  </si>
  <si>
    <t>Printer Model 251</t>
  </si>
  <si>
    <t>Pen Model 677</t>
  </si>
  <si>
    <t>Printer Model 484</t>
  </si>
  <si>
    <t>Phone Model 807</t>
  </si>
  <si>
    <t>Desk Model 673</t>
  </si>
  <si>
    <t>Paper Model 134</t>
  </si>
  <si>
    <t>Table Model 996</t>
  </si>
  <si>
    <t>Phone Model 353</t>
  </si>
  <si>
    <t>Chair Model 391</t>
  </si>
  <si>
    <t>Laptop Model 784</t>
  </si>
  <si>
    <t>Laptop Model 954</t>
  </si>
  <si>
    <t>Paper Model 670</t>
  </si>
  <si>
    <t>Paper Model 347</t>
  </si>
  <si>
    <t>Paper Model 332</t>
  </si>
  <si>
    <t>Chair Model 655</t>
  </si>
  <si>
    <t>Laptop Model 448</t>
  </si>
  <si>
    <t>Phone Model 466</t>
  </si>
  <si>
    <t>Table Model 307</t>
  </si>
  <si>
    <t>Headphones Model 782</t>
  </si>
  <si>
    <t>Table Model 638</t>
  </si>
  <si>
    <t>Desk Model 373</t>
  </si>
  <si>
    <t>Pen Model 684</t>
  </si>
  <si>
    <t>Chair Model 589</t>
  </si>
  <si>
    <t>Pen Model 429</t>
  </si>
  <si>
    <t>Laptop Model 888</t>
  </si>
  <si>
    <t>Paper Model 295</t>
  </si>
  <si>
    <t>Pen Model 646</t>
  </si>
  <si>
    <t>Table Model 578</t>
  </si>
  <si>
    <t>Chair Model 138</t>
  </si>
  <si>
    <t>Chair Model 340</t>
  </si>
  <si>
    <t>Pen Model 176</t>
  </si>
  <si>
    <t>Desk Model 543</t>
  </si>
  <si>
    <t>Desk Model 381</t>
  </si>
  <si>
    <t>Desk Model 977</t>
  </si>
  <si>
    <t>Pen Model 663</t>
  </si>
  <si>
    <t>Headphones Model 649</t>
  </si>
  <si>
    <t>Desk Model 251</t>
  </si>
  <si>
    <t>Phone Model 162</t>
  </si>
  <si>
    <t>Headphones Model 135</t>
  </si>
  <si>
    <t>Chair Model 845</t>
  </si>
  <si>
    <t>Table Model 751</t>
  </si>
  <si>
    <t>Printer Model 371</t>
  </si>
  <si>
    <t>Printer Model 459</t>
  </si>
  <si>
    <t>Chair Model 506</t>
  </si>
  <si>
    <t>Laptop Model 365</t>
  </si>
  <si>
    <t>Table Model 437</t>
  </si>
  <si>
    <t>Desk Model 233</t>
  </si>
  <si>
    <t>Desk Model 205</t>
  </si>
  <si>
    <t>Laptop Model 689</t>
  </si>
  <si>
    <t>Headphones Model 976</t>
  </si>
  <si>
    <t>Paper Model 827</t>
  </si>
  <si>
    <t>Desk Model 135</t>
  </si>
  <si>
    <t>Table Model 233</t>
  </si>
  <si>
    <t>Paper Model 808</t>
  </si>
  <si>
    <t>Desk Model 164</t>
  </si>
  <si>
    <t>Table Model 881</t>
  </si>
  <si>
    <t>Table Model 368</t>
  </si>
  <si>
    <t>Printer Model 135</t>
  </si>
  <si>
    <t>Laptop Model 697</t>
  </si>
  <si>
    <t>Phone Model 291</t>
  </si>
  <si>
    <t>Printer Model 820</t>
  </si>
  <si>
    <t>Phone Model 869</t>
  </si>
  <si>
    <t>Printer Model 844</t>
  </si>
  <si>
    <t>Laptop Model 338</t>
  </si>
  <si>
    <t>Phone Model 816</t>
  </si>
  <si>
    <t>Headphones Model 775</t>
  </si>
  <si>
    <t>Desk Model 536</t>
  </si>
  <si>
    <t>Phone Model 294</t>
  </si>
  <si>
    <t>Headphones Model 371</t>
  </si>
  <si>
    <t>Chair Model 501</t>
  </si>
  <si>
    <t>Phone Model 662</t>
  </si>
  <si>
    <t>Paper Model 143</t>
  </si>
  <si>
    <t>Headphones Model 643</t>
  </si>
  <si>
    <t>Table Model 832</t>
  </si>
  <si>
    <t>Desk Model 391</t>
  </si>
  <si>
    <t>Table Model 449</t>
  </si>
  <si>
    <t>Laptop Model 382</t>
  </si>
  <si>
    <t>Chair Model 592</t>
  </si>
  <si>
    <t>Table Model 153</t>
  </si>
  <si>
    <t>Headphones Model 199</t>
  </si>
  <si>
    <t>Printer Model 888</t>
  </si>
  <si>
    <t>Laptop Model 295</t>
  </si>
  <si>
    <t>Desk Model 547</t>
  </si>
  <si>
    <t>Pen Model 526</t>
  </si>
  <si>
    <t>Pen Model 421</t>
  </si>
  <si>
    <t>Table Model 383</t>
  </si>
  <si>
    <t>Laptop Model 317</t>
  </si>
  <si>
    <t>Printer Model 249</t>
  </si>
  <si>
    <t>Laptop Model 742</t>
  </si>
  <si>
    <t>Phone Model 492</t>
  </si>
  <si>
    <t>Headphones Model 573</t>
  </si>
  <si>
    <t>Printer Model 425</t>
  </si>
  <si>
    <t>Headphones Model 731</t>
  </si>
  <si>
    <t>Laptop Model 881</t>
  </si>
  <si>
    <t>Laptop Model 952</t>
  </si>
  <si>
    <t>Paper Model 264</t>
  </si>
  <si>
    <t>Pen Model 996</t>
  </si>
  <si>
    <t>Headphones Model 813</t>
  </si>
  <si>
    <t>Pen Model 255</t>
  </si>
  <si>
    <t>Chair Model 905</t>
  </si>
  <si>
    <t>Laptop Model 322</t>
  </si>
  <si>
    <t>Headphones Model 184</t>
  </si>
  <si>
    <t>Table Model 583</t>
  </si>
  <si>
    <t>Headphones Model 685</t>
  </si>
  <si>
    <t>Laptop Model 361</t>
  </si>
  <si>
    <t>Laptop Model 444</t>
  </si>
  <si>
    <t>Paper Model 386</t>
  </si>
  <si>
    <t>Phone Model 480</t>
  </si>
  <si>
    <t>Headphones Model 576</t>
  </si>
  <si>
    <t>Table Model 698</t>
  </si>
  <si>
    <t>Chair Model 929</t>
  </si>
  <si>
    <t>Paper Model 336</t>
  </si>
  <si>
    <t>Paper Model 806</t>
  </si>
  <si>
    <t>Paper Model 962</t>
  </si>
  <si>
    <t>Pen Model 700</t>
  </si>
  <si>
    <t>Paper Model 256</t>
  </si>
  <si>
    <t>Pen Model 832</t>
  </si>
  <si>
    <t>Printer Model 134</t>
  </si>
  <si>
    <t>Desk Model 736</t>
  </si>
  <si>
    <t>Chair Model 436</t>
  </si>
  <si>
    <t>Paper Model 141</t>
  </si>
  <si>
    <t>Table Model 319</t>
  </si>
  <si>
    <t>Pen Model 131</t>
  </si>
  <si>
    <t>Phone Model 709</t>
  </si>
  <si>
    <t>Pen Model 708</t>
  </si>
  <si>
    <t>Phone Model 138</t>
  </si>
  <si>
    <t>Printer Model 632</t>
  </si>
  <si>
    <t>Printer Model 874</t>
  </si>
  <si>
    <t>Headphones Model 270</t>
  </si>
  <si>
    <t>Paper Model 191</t>
  </si>
  <si>
    <t>Headphones Model 575</t>
  </si>
  <si>
    <t>Phone Model 838</t>
  </si>
  <si>
    <t>Laptop Model 392</t>
  </si>
  <si>
    <t>Desk Model 366</t>
  </si>
  <si>
    <t>Laptop Model 286</t>
  </si>
  <si>
    <t>Printer Model 141</t>
  </si>
  <si>
    <t>Laptop Model 965</t>
  </si>
  <si>
    <t>Paper Model 538</t>
  </si>
  <si>
    <t>Printer Model 398</t>
  </si>
  <si>
    <t>Phone Model 994</t>
  </si>
  <si>
    <t>Paper Model 814</t>
  </si>
  <si>
    <t>Paper Model 478</t>
  </si>
  <si>
    <t>Phone Model 605</t>
  </si>
  <si>
    <t>Laptop Model 528</t>
  </si>
  <si>
    <t>Chair Model 468</t>
  </si>
  <si>
    <t>Printer Model 838</t>
  </si>
  <si>
    <t>Chair Model 762</t>
  </si>
  <si>
    <t>Table Model 164</t>
  </si>
  <si>
    <t>Headphones Model 739</t>
  </si>
  <si>
    <t>Table Model 371</t>
  </si>
  <si>
    <t>Chair Model 788</t>
  </si>
  <si>
    <t>Headphones Model 291</t>
  </si>
  <si>
    <t>Chair Model 990</t>
  </si>
  <si>
    <t>Pen Model 602</t>
  </si>
  <si>
    <t>Pen Model 692</t>
  </si>
  <si>
    <t>Chair Model 143</t>
  </si>
  <si>
    <t>Table Model 289</t>
  </si>
  <si>
    <t>Desk Model 970</t>
  </si>
  <si>
    <t>Headphones Model 162</t>
  </si>
  <si>
    <t>Desk Model 184</t>
  </si>
  <si>
    <t>Paper Model 515</t>
  </si>
  <si>
    <t>Chair Model 579</t>
  </si>
  <si>
    <t>Headphones Model 164</t>
  </si>
  <si>
    <t>Desk Model 826</t>
  </si>
  <si>
    <t>Pen Model 890</t>
  </si>
  <si>
    <t>Pen Model 778</t>
  </si>
  <si>
    <t>Headphones Model 704</t>
  </si>
  <si>
    <t>Pen Model 519</t>
  </si>
  <si>
    <t>Printer Model 792</t>
  </si>
  <si>
    <t>Table Model 621</t>
  </si>
  <si>
    <t>Table Model 683</t>
  </si>
  <si>
    <t>Printer Model 768</t>
  </si>
  <si>
    <t>Table Model 777</t>
  </si>
  <si>
    <t>Chair Model 771</t>
  </si>
  <si>
    <t>Headphones Model 598</t>
  </si>
  <si>
    <t>Printer Model 435</t>
  </si>
  <si>
    <t>Desk Model 303</t>
  </si>
  <si>
    <t>Desk Model 580</t>
  </si>
  <si>
    <t>Printer Model 233</t>
  </si>
  <si>
    <t>Laptop Model 892</t>
  </si>
  <si>
    <t>Printer Model 769</t>
  </si>
  <si>
    <t>Desk Model 113</t>
  </si>
  <si>
    <t>Phone Model 745</t>
  </si>
  <si>
    <t>Headphones Model 631</t>
  </si>
  <si>
    <t>Headphones Model 858</t>
  </si>
  <si>
    <t>Desk Model 311</t>
  </si>
  <si>
    <t>Headphones Model 797</t>
  </si>
  <si>
    <t>Chair Model 865</t>
  </si>
  <si>
    <t>Printer Model 112</t>
  </si>
  <si>
    <t>Table Model 915</t>
  </si>
  <si>
    <t>Paper Model 564</t>
  </si>
  <si>
    <t>Paper Model 399</t>
  </si>
  <si>
    <t>Table Model 969</t>
  </si>
  <si>
    <t>Table Model 304</t>
  </si>
  <si>
    <t>Printer Model 267</t>
  </si>
  <si>
    <t>Table Model 938</t>
  </si>
  <si>
    <t>Phone Model 389</t>
  </si>
  <si>
    <t>Desk Model 455</t>
  </si>
  <si>
    <t>Printer Model 384</t>
  </si>
  <si>
    <t>Paper Model 287</t>
  </si>
  <si>
    <t>Printer Model 696</t>
  </si>
  <si>
    <t>Table Model 794</t>
  </si>
  <si>
    <t>Table Model 925</t>
  </si>
  <si>
    <t>Pen Model 743</t>
  </si>
  <si>
    <t>Printer Model 261</t>
  </si>
  <si>
    <t>Pen Model 507</t>
  </si>
  <si>
    <t>Pen Model 264</t>
  </si>
  <si>
    <t>Desk Model 907</t>
  </si>
  <si>
    <t>Table Model 685</t>
  </si>
  <si>
    <t>Printer Model 766</t>
  </si>
  <si>
    <t>Laptop Model 596</t>
  </si>
  <si>
    <t>Laptop Model 104</t>
  </si>
  <si>
    <t>Pen Model 886</t>
  </si>
  <si>
    <t>Paper Model 656</t>
  </si>
  <si>
    <t>Headphones Model 402</t>
  </si>
  <si>
    <t>Pen Model 163</t>
  </si>
  <si>
    <t>Paper Model 772</t>
  </si>
  <si>
    <t>Table Model 666</t>
  </si>
  <si>
    <t>Paper Model 535</t>
  </si>
  <si>
    <t>Desk Model 173</t>
  </si>
  <si>
    <t>Pen Model 559</t>
  </si>
  <si>
    <t>Pen Model 718</t>
  </si>
  <si>
    <t>Phone Model 421</t>
  </si>
  <si>
    <t>Phone Model 687</t>
  </si>
  <si>
    <t>Desk Model 834</t>
  </si>
  <si>
    <t>Paper Model 640</t>
  </si>
  <si>
    <t>Printer Model 216</t>
  </si>
  <si>
    <t>Phone Model 754</t>
  </si>
  <si>
    <t>Desk Model 509</t>
  </si>
  <si>
    <t>Laptop Model 336</t>
  </si>
  <si>
    <t>Paper Model 815</t>
  </si>
  <si>
    <t>Pen Model 349</t>
  </si>
  <si>
    <t>Headphones Model 439</t>
  </si>
  <si>
    <t>Sales person</t>
  </si>
  <si>
    <t>Sub Category</t>
  </si>
  <si>
    <t xml:space="preserve">quantity </t>
  </si>
  <si>
    <t xml:space="preserve">price </t>
  </si>
  <si>
    <t>Row Labels</t>
  </si>
  <si>
    <t>Grand Total</t>
  </si>
  <si>
    <t>Sum of Profit</t>
  </si>
  <si>
    <t>Count of CustomerType</t>
  </si>
  <si>
    <t>Count of Product</t>
  </si>
  <si>
    <t>Sum of Revenue</t>
  </si>
  <si>
    <t xml:space="preserve">Sum of quantity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</si>
</sst>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 #,##0"/>
    <numFmt numFmtId="165" formatCode="0.00,,&quot;M&quot;"/>
  </numFmts>
  <fonts count="2" x14ac:knownFonts="1">
    <font>
      <sz val="11"/>
      <color theme="1"/>
      <name val="Calibri"/>
      <family val="2"/>
      <scheme val="minor"/>
    </font>
    <font>
      <b/>
      <sz val="11"/>
      <color theme="0"/>
      <name val="Calibri"/>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7">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
    <xf numFmtId="0" fontId="0" fillId="0" borderId="0"/>
  </cellStyleXfs>
  <cellXfs count="22">
    <xf numFmtId="0" fontId="0" fillId="0" borderId="0" xfId="0"/>
    <xf numFmtId="14" fontId="0" fillId="0" borderId="0" xfId="0" applyNumberFormat="1"/>
    <xf numFmtId="0" fontId="0" fillId="3" borderId="1" xfId="0" applyFill="1" applyBorder="1"/>
    <xf numFmtId="0" fontId="0" fillId="3" borderId="2" xfId="0" applyFill="1" applyBorder="1"/>
    <xf numFmtId="0" fontId="0" fillId="3" borderId="3" xfId="0" applyFill="1" applyBorder="1"/>
    <xf numFmtId="0" fontId="1" fillId="2" borderId="4" xfId="0" applyFont="1" applyFill="1" applyBorder="1"/>
    <xf numFmtId="0" fontId="1" fillId="2" borderId="5" xfId="0" applyFont="1" applyFill="1" applyBorder="1"/>
    <xf numFmtId="0" fontId="1" fillId="2" borderId="6" xfId="0" applyFont="1" applyFill="1" applyBorder="1"/>
    <xf numFmtId="0" fontId="0" fillId="3" borderId="4" xfId="0" applyFill="1" applyBorder="1"/>
    <xf numFmtId="14" fontId="0" fillId="3" borderId="5" xfId="0" applyNumberFormat="1" applyFill="1" applyBorder="1"/>
    <xf numFmtId="0" fontId="0" fillId="3" borderId="5" xfId="0" applyFill="1" applyBorder="1"/>
    <xf numFmtId="0" fontId="0" fillId="3" borderId="6" xfId="0" applyFill="1" applyBorder="1"/>
    <xf numFmtId="0" fontId="0" fillId="0" borderId="4" xfId="0" applyBorder="1"/>
    <xf numFmtId="14" fontId="0" fillId="0" borderId="5" xfId="0" applyNumberFormat="1" applyBorder="1"/>
    <xf numFmtId="0" fontId="0" fillId="0" borderId="5" xfId="0" applyBorder="1"/>
    <xf numFmtId="0" fontId="0" fillId="0" borderId="6" xfId="0" applyBorder="1"/>
    <xf numFmtId="14" fontId="0" fillId="3" borderId="2" xfId="0" applyNumberFormat="1" applyFill="1" applyBorder="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0" fontId="0" fillId="0" borderId="0" xfId="0" applyNumberFormat="1"/>
  </cellXfs>
  <cellStyles count="1">
    <cellStyle name="Normal" xfId="0" builtinId="0"/>
  </cellStyles>
  <dxfs count="0"/>
  <tableStyles count="0" defaultTableStyle="TableStyleMedium2" defaultPivotStyle="PivotStyleLight16"/>
  <colors>
    <mruColors>
      <color rgb="FF2094F4"/>
      <color rgb="FF2660A0"/>
      <color rgb="FF037B17"/>
      <color rgb="FF0860A8"/>
      <color rgb="FF074F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microsoft.com/office/2007/relationships/slicerCache" Target="slicerCaches/slicerCache5.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4.xml"/><Relationship Id="rId5" Type="http://schemas.openxmlformats.org/officeDocument/2006/relationships/pivotCacheDefinition" Target="pivotCache/pivotCacheDefinition1.xml"/><Relationship Id="rId15" Type="http://schemas.openxmlformats.org/officeDocument/2006/relationships/connections" Target="connections.xml"/><Relationship Id="rId10" Type="http://schemas.microsoft.com/office/2007/relationships/slicerCache" Target="slicerCaches/slicerCache3.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table!PivotTable2</c:name>
    <c:fmtId val="2"/>
  </c:pivotSource>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table'!$B$14</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'pivot table'!$A$15:$A$18</c:f>
              <c:strCache>
                <c:ptCount val="3"/>
                <c:pt idx="0">
                  <c:v>Electronics</c:v>
                </c:pt>
                <c:pt idx="1">
                  <c:v>Furniture</c:v>
                </c:pt>
                <c:pt idx="2">
                  <c:v>Office</c:v>
                </c:pt>
              </c:strCache>
            </c:strRef>
          </c:cat>
          <c:val>
            <c:numRef>
              <c:f>'pivot table'!$B$15:$B$18</c:f>
              <c:numCache>
                <c:formatCode>0.00,,"M"</c:formatCode>
                <c:ptCount val="3"/>
                <c:pt idx="0">
                  <c:v>24667.23</c:v>
                </c:pt>
                <c:pt idx="1">
                  <c:v>67544.23</c:v>
                </c:pt>
                <c:pt idx="2">
                  <c:v>33693.06</c:v>
                </c:pt>
              </c:numCache>
            </c:numRef>
          </c:val>
          <c:smooth val="0"/>
          <c:extLst>
            <c:ext xmlns:c16="http://schemas.microsoft.com/office/drawing/2014/chart" uri="{C3380CC4-5D6E-409C-BE32-E72D297353CC}">
              <c16:uniqueId val="{00000000-31DD-42CD-BEC8-1FC04F7E0912}"/>
            </c:ext>
          </c:extLst>
        </c:ser>
        <c:dLbls>
          <c:showLegendKey val="0"/>
          <c:showVal val="0"/>
          <c:showCatName val="0"/>
          <c:showSerName val="0"/>
          <c:showPercent val="0"/>
          <c:showBubbleSize val="0"/>
        </c:dLbls>
        <c:marker val="1"/>
        <c:smooth val="0"/>
        <c:axId val="852251888"/>
        <c:axId val="1437946480"/>
      </c:lineChart>
      <c:catAx>
        <c:axId val="85225188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37946480"/>
        <c:crosses val="autoZero"/>
        <c:auto val="1"/>
        <c:lblAlgn val="ctr"/>
        <c:lblOffset val="100"/>
        <c:noMultiLvlLbl val="0"/>
      </c:catAx>
      <c:valAx>
        <c:axId val="143794648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52251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[Dashboard.xlsm]pivot table!PivotTable4</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700" i="1" u="sng">
                <a:latin typeface="Aptos Narrow" panose="020B0004020202020204" pitchFamily="34" charset="0"/>
                <a:ea typeface="Cascadia Code" panose="020B0609020000020004" pitchFamily="49" charset="0"/>
                <a:cs typeface="Cascadia Code" panose="020B0609020000020004" pitchFamily="49" charset="0"/>
              </a:rPr>
              <a:t>Profit</a:t>
            </a:r>
            <a:r>
              <a:rPr lang="en-US" sz="1700" i="1" u="sng" baseline="0">
                <a:latin typeface="Aptos Narrow" panose="020B0004020202020204" pitchFamily="34" charset="0"/>
                <a:ea typeface="Cascadia Code" panose="020B0609020000020004" pitchFamily="49" charset="0"/>
                <a:cs typeface="Cascadia Code" panose="020B0609020000020004" pitchFamily="49" charset="0"/>
              </a:rPr>
              <a:t> by sub-category</a:t>
            </a:r>
            <a:endParaRPr lang="en-US" sz="1700" i="1" u="sng">
              <a:latin typeface="Aptos Narrow" panose="020B0004020202020204" pitchFamily="34" charset="0"/>
              <a:ea typeface="Cascadia Code" panose="020B0609020000020004" pitchFamily="49" charset="0"/>
              <a:cs typeface="Cascadia Code" panose="020B0609020000020004" pitchFamily="49" charset="0"/>
            </a:endParaRPr>
          </a:p>
        </c:rich>
      </c:tx>
      <c:layout>
        <c:manualLayout>
          <c:xMode val="edge"/>
          <c:yMode val="edge"/>
          <c:x val="0.31903455818022747"/>
          <c:y val="7.622960173456580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alpha val="85000"/>
            </a:schemeClr>
          </a:solidFill>
          <a:ln w="9525" cap="flat" cmpd="sng" algn="ctr">
            <a:solidFill>
              <a:schemeClr val="accent6">
                <a:lumMod val="75000"/>
              </a:schemeClr>
            </a:solidFill>
            <a:round/>
          </a:ln>
          <a:effectLst/>
          <a:sp3d contourW="9525">
            <a:contourClr>
              <a:schemeClr val="accent6">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table'!$B$2</c:f>
              <c:strCache>
                <c:ptCount val="1"/>
                <c:pt idx="0">
                  <c:v>Total</c:v>
                </c:pt>
              </c:strCache>
            </c:strRef>
          </c:tx>
          <c:spPr>
            <a:solidFill>
              <a:schemeClr val="accent6">
                <a:alpha val="85000"/>
              </a:schemeClr>
            </a:solidFill>
            <a:ln w="9525" cap="flat" cmpd="sng" algn="ctr">
              <a:solidFill>
                <a:schemeClr val="accent6">
                  <a:lumMod val="75000"/>
                </a:schemeClr>
              </a:solidFill>
              <a:round/>
            </a:ln>
            <a:effectLst/>
            <a:sp3d contourW="9525">
              <a:contourClr>
                <a:schemeClr val="accent6">
                  <a:lumMod val="75000"/>
                </a:schemeClr>
              </a:contourClr>
            </a:sp3d>
          </c:spPr>
          <c:invertIfNegative val="0"/>
          <c:cat>
            <c:strRef>
              <c:f>'pivot table'!$A$3:$A$11</c:f>
              <c:strCache>
                <c:ptCount val="8"/>
                <c:pt idx="0">
                  <c:v>Chair</c:v>
                </c:pt>
                <c:pt idx="1">
                  <c:v>Desk</c:v>
                </c:pt>
                <c:pt idx="2">
                  <c:v>Headphones</c:v>
                </c:pt>
                <c:pt idx="3">
                  <c:v>Laptop</c:v>
                </c:pt>
                <c:pt idx="4">
                  <c:v>Paper</c:v>
                </c:pt>
                <c:pt idx="5">
                  <c:v>Pen</c:v>
                </c:pt>
                <c:pt idx="6">
                  <c:v>Printer</c:v>
                </c:pt>
                <c:pt idx="7">
                  <c:v>Table</c:v>
                </c:pt>
              </c:strCache>
            </c:strRef>
          </c:cat>
          <c:val>
            <c:numRef>
              <c:f>'pivot table'!$B$3:$B$11</c:f>
              <c:numCache>
                <c:formatCode>General</c:formatCode>
                <c:ptCount val="8"/>
                <c:pt idx="0">
                  <c:v>3635.83</c:v>
                </c:pt>
                <c:pt idx="1">
                  <c:v>21504.27</c:v>
                </c:pt>
                <c:pt idx="2">
                  <c:v>2219.23</c:v>
                </c:pt>
                <c:pt idx="3">
                  <c:v>7393.85</c:v>
                </c:pt>
                <c:pt idx="4">
                  <c:v>256.77</c:v>
                </c:pt>
                <c:pt idx="5">
                  <c:v>10763.42</c:v>
                </c:pt>
                <c:pt idx="6">
                  <c:v>1268.1199999999999</c:v>
                </c:pt>
                <c:pt idx="7">
                  <c:v>2107.06</c:v>
                </c:pt>
              </c:numCache>
            </c:numRef>
          </c:val>
          <c:extLst>
            <c:ext xmlns:c16="http://schemas.microsoft.com/office/drawing/2014/chart" uri="{C3380CC4-5D6E-409C-BE32-E72D297353CC}">
              <c16:uniqueId val="{00000000-CE4A-4283-9FFF-256F518B369D}"/>
            </c:ext>
          </c:extLst>
        </c:ser>
        <c:dLbls>
          <c:showLegendKey val="0"/>
          <c:showVal val="0"/>
          <c:showCatName val="0"/>
          <c:showSerName val="0"/>
          <c:showPercent val="0"/>
          <c:showBubbleSize val="0"/>
        </c:dLbls>
        <c:gapWidth val="65"/>
        <c:shape val="box"/>
        <c:axId val="852249104"/>
        <c:axId val="1437984400"/>
        <c:axId val="0"/>
      </c:bar3DChart>
      <c:catAx>
        <c:axId val="85224910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37984400"/>
        <c:crosses val="autoZero"/>
        <c:auto val="1"/>
        <c:lblAlgn val="ctr"/>
        <c:lblOffset val="100"/>
        <c:noMultiLvlLbl val="0"/>
      </c:catAx>
      <c:valAx>
        <c:axId val="1437984400"/>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85224910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table!PivotTable3</c:name>
    <c:fmtId val="8"/>
  </c:pivotSource>
  <c:chart>
    <c:title>
      <c:tx>
        <c:rich>
          <a:bodyPr rot="0" spcFirstLastPara="1" vertOverflow="ellipsis" vert="horz" wrap="square" anchor="ctr" anchorCtr="1"/>
          <a:lstStyle/>
          <a:p>
            <a:pPr algn="ctr">
              <a:defRPr sz="1800" b="1" i="0" u="sng" strike="noStrike" kern="1200" baseline="0">
                <a:solidFill>
                  <a:schemeClr val="lt1"/>
                </a:solidFill>
                <a:latin typeface="+mn-lt"/>
                <a:ea typeface="+mn-ea"/>
                <a:cs typeface="+mn-cs"/>
              </a:defRPr>
            </a:pPr>
            <a:r>
              <a:rPr lang="en-US" sz="1600" u="sng">
                <a:latin typeface="Aptos Display" panose="020B0004020202020204" pitchFamily="34" charset="0"/>
              </a:rPr>
              <a:t>Payment</a:t>
            </a:r>
            <a:r>
              <a:rPr lang="en-US" sz="1600" u="sng" baseline="0">
                <a:latin typeface="Aptos Display" panose="020B0004020202020204" pitchFamily="34" charset="0"/>
              </a:rPr>
              <a:t> method Distribution</a:t>
            </a:r>
            <a:endParaRPr lang="en-US" sz="1600" u="sng">
              <a:latin typeface="Aptos Display" panose="020B0004020202020204" pitchFamily="34" charset="0"/>
            </a:endParaRPr>
          </a:p>
        </c:rich>
      </c:tx>
      <c:layout>
        <c:manualLayout>
          <c:xMode val="edge"/>
          <c:yMode val="edge"/>
          <c:x val="0.34366666666666668"/>
          <c:y val="9.1571886847477399E-2"/>
        </c:manualLayout>
      </c:layout>
      <c:overlay val="0"/>
      <c:spPr>
        <a:solidFill>
          <a:schemeClr val="accent4">
            <a:lumMod val="75000"/>
          </a:schemeClr>
        </a:solidFill>
        <a:ln>
          <a:noFill/>
        </a:ln>
        <a:effectLst/>
      </c:spPr>
      <c:txPr>
        <a:bodyPr rot="0" spcFirstLastPara="1" vertOverflow="ellipsis" vert="horz" wrap="square" anchor="ctr" anchorCtr="1"/>
        <a:lstStyle/>
        <a:p>
          <a:pPr algn="ctr">
            <a:defRPr sz="1800" b="1" i="0" u="sng" strike="noStrike" kern="120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3272703412073492"/>
          <c:y val="0.27664151356080491"/>
          <c:w val="0.75060629921259847"/>
          <c:h val="0.66317330125400986"/>
        </c:manualLayout>
      </c:layout>
      <c:pie3DChart>
        <c:varyColors val="1"/>
        <c:ser>
          <c:idx val="0"/>
          <c:order val="0"/>
          <c:tx>
            <c:strRef>
              <c:f>'pivot table'!$B$20</c:f>
              <c:strCache>
                <c:ptCount val="1"/>
                <c:pt idx="0">
                  <c:v>Total</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2440-4C41-868A-648D5AC9A446}"/>
              </c:ext>
            </c:extLst>
          </c:dPt>
          <c:dPt>
            <c:idx val="1"/>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2440-4C41-868A-648D5AC9A446}"/>
              </c:ext>
            </c:extLst>
          </c:dPt>
          <c:dPt>
            <c:idx val="2"/>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2440-4C41-868A-648D5AC9A446}"/>
              </c:ext>
            </c:extLst>
          </c:dPt>
          <c:dPt>
            <c:idx val="3"/>
            <c:bubble3D val="0"/>
            <c:spPr>
              <a:solidFill>
                <a:schemeClr val="accent1">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7-2440-4C41-868A-648D5AC9A446}"/>
              </c:ext>
            </c:extLst>
          </c:dPt>
          <c:dLbls>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table'!$A$21:$A$25</c:f>
              <c:strCache>
                <c:ptCount val="4"/>
                <c:pt idx="0">
                  <c:v>Card</c:v>
                </c:pt>
                <c:pt idx="1">
                  <c:v>Cash</c:v>
                </c:pt>
                <c:pt idx="2">
                  <c:v>Net Banking</c:v>
                </c:pt>
                <c:pt idx="3">
                  <c:v>UPI</c:v>
                </c:pt>
              </c:strCache>
            </c:strRef>
          </c:cat>
          <c:val>
            <c:numRef>
              <c:f>'pivot table'!$B$21:$B$25</c:f>
              <c:numCache>
                <c:formatCode>General</c:formatCode>
                <c:ptCount val="4"/>
                <c:pt idx="0">
                  <c:v>5</c:v>
                </c:pt>
                <c:pt idx="1">
                  <c:v>8</c:v>
                </c:pt>
                <c:pt idx="2">
                  <c:v>4</c:v>
                </c:pt>
                <c:pt idx="3">
                  <c:v>5</c:v>
                </c:pt>
              </c:numCache>
            </c:numRef>
          </c:val>
          <c:extLst>
            <c:ext xmlns:c16="http://schemas.microsoft.com/office/drawing/2014/chart" uri="{C3380CC4-5D6E-409C-BE32-E72D297353CC}">
              <c16:uniqueId val="{00000008-2440-4C41-868A-648D5AC9A446}"/>
            </c:ext>
          </c:extLst>
        </c:ser>
        <c:dLbls>
          <c:dLblPos val="inEnd"/>
          <c:showLegendKey val="0"/>
          <c:showVal val="0"/>
          <c:showCatName val="0"/>
          <c:showSerName val="0"/>
          <c:showPercent val="1"/>
          <c:showBubbleSize val="0"/>
          <c:showLeaderLines val="1"/>
        </c:dLbls>
      </c:pie3DChart>
      <c:spPr>
        <a:noFill/>
        <a:ln>
          <a:noFill/>
        </a:ln>
        <a:effectLst/>
      </c:spPr>
    </c:plotArea>
    <c:legend>
      <c:legendPos val="l"/>
      <c:overlay val="0"/>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[Dashboard.xlsm]pivot table!PivotTable5</c:name>
    <c:fmtId val="5"/>
  </c:pivotSource>
  <c:chart>
    <c:autoTitleDeleted val="1"/>
    <c:pivotFmts>
      <c:pivotFmt>
        <c:idx val="0"/>
        <c:spPr>
          <a:solidFill>
            <a:schemeClr val="accent5"/>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5"/>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5">
              <a:tint val="65000"/>
            </a:schemeClr>
          </a:solidFill>
          <a:ln>
            <a:noFill/>
          </a:ln>
          <a:effectLst>
            <a:outerShdw blurRad="317500" algn="ctr" rotWithShape="0">
              <a:prstClr val="black">
                <a:alpha val="25000"/>
              </a:prstClr>
            </a:outerShdw>
          </a:effectLst>
        </c:spPr>
      </c:pivotFmt>
      <c:pivotFmt>
        <c:idx val="3"/>
        <c:spPr>
          <a:solidFill>
            <a:schemeClr val="accent5"/>
          </a:solidFill>
          <a:ln>
            <a:noFill/>
          </a:ln>
          <a:effectLst>
            <a:outerShdw blurRad="317500" algn="ctr" rotWithShape="0">
              <a:prstClr val="black">
                <a:alpha val="25000"/>
              </a:prstClr>
            </a:outerShdw>
          </a:effectLst>
        </c:spPr>
      </c:pivotFmt>
      <c:pivotFmt>
        <c:idx val="4"/>
        <c:spPr>
          <a:solidFill>
            <a:schemeClr val="accent5">
              <a:shade val="65000"/>
            </a:schemeClr>
          </a:solidFill>
          <a:ln>
            <a:noFill/>
          </a:ln>
          <a:effectLst>
            <a:outerShdw blurRad="317500" algn="ctr" rotWithShape="0">
              <a:prstClr val="black">
                <a:alpha val="25000"/>
              </a:prstClr>
            </a:outerShdw>
          </a:effectLst>
        </c:spPr>
      </c:pivotFmt>
      <c:pivotFmt>
        <c:idx val="5"/>
        <c:spPr>
          <a:solidFill>
            <a:schemeClr val="accent5"/>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5">
              <a:tint val="65000"/>
            </a:schemeClr>
          </a:solidFill>
          <a:ln>
            <a:noFill/>
          </a:ln>
          <a:effectLst>
            <a:outerShdw blurRad="317500" algn="ctr" rotWithShape="0">
              <a:prstClr val="black">
                <a:alpha val="25000"/>
              </a:prstClr>
            </a:outerShdw>
          </a:effectLst>
        </c:spPr>
      </c:pivotFmt>
      <c:pivotFmt>
        <c:idx val="7"/>
        <c:spPr>
          <a:solidFill>
            <a:schemeClr val="accent5"/>
          </a:solidFill>
          <a:ln>
            <a:noFill/>
          </a:ln>
          <a:effectLst>
            <a:outerShdw blurRad="317500" algn="ctr" rotWithShape="0">
              <a:prstClr val="black">
                <a:alpha val="25000"/>
              </a:prstClr>
            </a:outerShdw>
          </a:effectLst>
        </c:spPr>
      </c:pivotFmt>
      <c:pivotFmt>
        <c:idx val="8"/>
        <c:spPr>
          <a:solidFill>
            <a:schemeClr val="accent5">
              <a:shade val="65000"/>
            </a:schemeClr>
          </a:solidFill>
          <a:ln>
            <a:noFill/>
          </a:ln>
          <a:effectLst>
            <a:outerShdw blurRad="317500" algn="ctr" rotWithShape="0">
              <a:prstClr val="black">
                <a:alpha val="25000"/>
              </a:prstClr>
            </a:outerShdw>
          </a:effectLst>
        </c:spPr>
      </c:pivotFmt>
      <c:pivotFmt>
        <c:idx val="9"/>
        <c:spPr>
          <a:solidFill>
            <a:schemeClr val="accent5"/>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5">
              <a:tint val="77000"/>
            </a:schemeClr>
          </a:solidFill>
          <a:ln>
            <a:noFill/>
          </a:ln>
          <a:effectLst>
            <a:outerShdw blurRad="317500" algn="ctr" rotWithShape="0">
              <a:prstClr val="black">
                <a:alpha val="25000"/>
              </a:prstClr>
            </a:outerShdw>
          </a:effectLst>
        </c:spPr>
      </c:pivotFmt>
      <c:pivotFmt>
        <c:idx val="11"/>
        <c:spPr>
          <a:solidFill>
            <a:schemeClr val="accent5">
              <a:shade val="76000"/>
            </a:schemeClr>
          </a:solidFill>
          <a:ln>
            <a:noFill/>
          </a:ln>
          <a:effectLst>
            <a:outerShdw blurRad="317500" algn="ctr" rotWithShape="0">
              <a:prstClr val="black">
                <a:alpha val="25000"/>
              </a:prstClr>
            </a:outerShdw>
          </a:effectLst>
        </c:spPr>
      </c:pivotFmt>
      <c:pivotFmt>
        <c:idx val="12"/>
        <c:spPr>
          <a:solidFill>
            <a:schemeClr val="accent5"/>
          </a:solidFill>
          <a:ln>
            <a:noFill/>
          </a:ln>
          <a:effectLst>
            <a:outerShdw blurRad="317500" algn="ctr" rotWithShape="0">
              <a:prstClr val="black">
                <a:alpha val="25000"/>
              </a:prstClr>
            </a:outerShdw>
          </a:effectLst>
        </c:spPr>
      </c:pivotFmt>
    </c:pivotFmts>
    <c:plotArea>
      <c:layout/>
      <c:doughnutChart>
        <c:varyColors val="1"/>
        <c:ser>
          <c:idx val="0"/>
          <c:order val="0"/>
          <c:tx>
            <c:strRef>
              <c:f>'pivot table'!$E$10</c:f>
              <c:strCache>
                <c:ptCount val="1"/>
                <c:pt idx="0">
                  <c:v>Total</c:v>
                </c:pt>
              </c:strCache>
            </c:strRef>
          </c:tx>
          <c:dPt>
            <c:idx val="0"/>
            <c:bubble3D val="0"/>
            <c:spPr>
              <a:solidFill>
                <a:schemeClr val="accent5">
                  <a:tint val="77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D2E8-4D13-9738-5DA3E970C90E}"/>
              </c:ext>
            </c:extLst>
          </c:dPt>
          <c:dPt>
            <c:idx val="1"/>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D2E8-4D13-9738-5DA3E970C90E}"/>
              </c:ext>
            </c:extLst>
          </c:dPt>
          <c:dPt>
            <c:idx val="2"/>
            <c:bubble3D val="0"/>
            <c:spPr>
              <a:solidFill>
                <a:schemeClr val="accent5">
                  <a:shade val="7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D2E8-4D13-9738-5DA3E970C90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table'!$D$11:$D$14</c:f>
              <c:strCache>
                <c:ptCount val="3"/>
                <c:pt idx="0">
                  <c:v>Corporate</c:v>
                </c:pt>
                <c:pt idx="1">
                  <c:v>Online</c:v>
                </c:pt>
                <c:pt idx="2">
                  <c:v>Retail</c:v>
                </c:pt>
              </c:strCache>
            </c:strRef>
          </c:cat>
          <c:val>
            <c:numRef>
              <c:f>'pivot table'!$E$11:$E$14</c:f>
              <c:numCache>
                <c:formatCode>General</c:formatCode>
                <c:ptCount val="3"/>
                <c:pt idx="0">
                  <c:v>72</c:v>
                </c:pt>
                <c:pt idx="1">
                  <c:v>55</c:v>
                </c:pt>
                <c:pt idx="2">
                  <c:v>71</c:v>
                </c:pt>
              </c:numCache>
            </c:numRef>
          </c:val>
          <c:extLst>
            <c:ext xmlns:c16="http://schemas.microsoft.com/office/drawing/2014/chart" uri="{C3380CC4-5D6E-409C-BE32-E72D297353CC}">
              <c16:uniqueId val="{00000006-D2E8-4D13-9738-5DA3E970C90E}"/>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20000"/>
        <a:lumOff val="80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[Dashboard.xlsm]pivot table!PivotTable4</c:name>
    <c:fmtId val="12"/>
  </c:pivotSource>
  <c:chart>
    <c:title>
      <c:tx>
        <c:rich>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r>
              <a:rPr lang="en-US"/>
              <a:t>Profit by sub-category</a:t>
            </a:r>
          </a:p>
        </c:rich>
      </c:tx>
      <c:layout>
        <c:manualLayout>
          <c:xMode val="edge"/>
          <c:yMode val="edge"/>
          <c:x val="0.31903463377276142"/>
          <c:y val="7.622959815011076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alpha val="85000"/>
            </a:schemeClr>
          </a:solidFill>
          <a:ln w="9525" cap="flat" cmpd="sng" algn="ctr">
            <a:solidFill>
              <a:schemeClr val="accent6">
                <a:lumMod val="75000"/>
              </a:schemeClr>
            </a:solidFill>
            <a:round/>
          </a:ln>
          <a:effectLst/>
          <a:sp3d contourW="9525">
            <a:contourClr>
              <a:schemeClr val="accent6">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alpha val="85000"/>
            </a:schemeClr>
          </a:solidFill>
          <a:ln w="9525" cap="flat" cmpd="sng" algn="ctr">
            <a:solidFill>
              <a:schemeClr val="accent6">
                <a:lumMod val="75000"/>
              </a:schemeClr>
            </a:solidFill>
            <a:round/>
          </a:ln>
          <a:effectLst/>
          <a:sp3d contourW="9525">
            <a:contourClr>
              <a:schemeClr val="accent6">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alpha val="85000"/>
            </a:schemeClr>
          </a:solidFill>
          <a:ln w="9525" cap="flat" cmpd="sng" algn="ctr">
            <a:solidFill>
              <a:schemeClr val="accent6">
                <a:lumMod val="75000"/>
              </a:schemeClr>
            </a:solidFill>
            <a:round/>
          </a:ln>
          <a:effectLst/>
          <a:sp3d contourW="9525">
            <a:contourClr>
              <a:schemeClr val="accent6">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table'!$B$2</c:f>
              <c:strCache>
                <c:ptCount val="1"/>
                <c:pt idx="0">
                  <c:v>Total</c:v>
                </c:pt>
              </c:strCache>
            </c:strRef>
          </c:tx>
          <c:spPr>
            <a:solidFill>
              <a:schemeClr val="accent6">
                <a:alpha val="85000"/>
              </a:schemeClr>
            </a:solidFill>
            <a:ln w="9525" cap="flat" cmpd="sng" algn="ctr">
              <a:solidFill>
                <a:schemeClr val="accent6">
                  <a:lumMod val="75000"/>
                </a:schemeClr>
              </a:solidFill>
              <a:round/>
            </a:ln>
            <a:effectLst/>
            <a:sp3d contourW="9525">
              <a:contourClr>
                <a:schemeClr val="accent6">
                  <a:lumMod val="75000"/>
                </a:schemeClr>
              </a:contourClr>
            </a:sp3d>
          </c:spPr>
          <c:invertIfNegative val="0"/>
          <c:cat>
            <c:strRef>
              <c:f>'pivot table'!$A$3:$A$11</c:f>
              <c:strCache>
                <c:ptCount val="8"/>
                <c:pt idx="0">
                  <c:v>Chair</c:v>
                </c:pt>
                <c:pt idx="1">
                  <c:v>Desk</c:v>
                </c:pt>
                <c:pt idx="2">
                  <c:v>Headphones</c:v>
                </c:pt>
                <c:pt idx="3">
                  <c:v>Laptop</c:v>
                </c:pt>
                <c:pt idx="4">
                  <c:v>Paper</c:v>
                </c:pt>
                <c:pt idx="5">
                  <c:v>Pen</c:v>
                </c:pt>
                <c:pt idx="6">
                  <c:v>Printer</c:v>
                </c:pt>
                <c:pt idx="7">
                  <c:v>Table</c:v>
                </c:pt>
              </c:strCache>
            </c:strRef>
          </c:cat>
          <c:val>
            <c:numRef>
              <c:f>'pivot table'!$B$3:$B$11</c:f>
              <c:numCache>
                <c:formatCode>General</c:formatCode>
                <c:ptCount val="8"/>
                <c:pt idx="0">
                  <c:v>3635.83</c:v>
                </c:pt>
                <c:pt idx="1">
                  <c:v>21504.27</c:v>
                </c:pt>
                <c:pt idx="2">
                  <c:v>2219.23</c:v>
                </c:pt>
                <c:pt idx="3">
                  <c:v>7393.85</c:v>
                </c:pt>
                <c:pt idx="4">
                  <c:v>256.77</c:v>
                </c:pt>
                <c:pt idx="5">
                  <c:v>10763.42</c:v>
                </c:pt>
                <c:pt idx="6">
                  <c:v>1268.1199999999999</c:v>
                </c:pt>
                <c:pt idx="7">
                  <c:v>2107.06</c:v>
                </c:pt>
              </c:numCache>
            </c:numRef>
          </c:val>
          <c:extLst>
            <c:ext xmlns:c16="http://schemas.microsoft.com/office/drawing/2014/chart" uri="{C3380CC4-5D6E-409C-BE32-E72D297353CC}">
              <c16:uniqueId val="{00000000-8DB2-4A49-A3AA-70663DD67B82}"/>
            </c:ext>
          </c:extLst>
        </c:ser>
        <c:dLbls>
          <c:showLegendKey val="0"/>
          <c:showVal val="0"/>
          <c:showCatName val="0"/>
          <c:showSerName val="0"/>
          <c:showPercent val="0"/>
          <c:showBubbleSize val="0"/>
        </c:dLbls>
        <c:gapWidth val="65"/>
        <c:shape val="box"/>
        <c:axId val="852249104"/>
        <c:axId val="1437984400"/>
        <c:axId val="0"/>
      </c:bar3DChart>
      <c:catAx>
        <c:axId val="85224910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lt1"/>
                </a:solidFill>
                <a:latin typeface="+mn-lt"/>
                <a:ea typeface="+mn-ea"/>
                <a:cs typeface="+mn-cs"/>
              </a:defRPr>
            </a:pPr>
            <a:endParaRPr lang="en-US"/>
          </a:p>
        </c:txPr>
        <c:crossAx val="1437984400"/>
        <c:crosses val="autoZero"/>
        <c:auto val="1"/>
        <c:lblAlgn val="ctr"/>
        <c:lblOffset val="100"/>
        <c:noMultiLvlLbl val="0"/>
      </c:catAx>
      <c:valAx>
        <c:axId val="1437984400"/>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5224910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alpha val="50000"/>
      </a:schemeClr>
    </a:solidFill>
    <a:ln w="9525" cap="flat" cmpd="sng" algn="ctr">
      <a:noFill/>
      <a:round/>
    </a:ln>
    <a:effectLst>
      <a:softEdge rad="12700"/>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table!PivotTable3</c:name>
    <c:fmtId val="13"/>
  </c:pivotSource>
  <c:chart>
    <c:title>
      <c:tx>
        <c:rich>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r>
              <a:rPr lang="en-US"/>
              <a:t>Payment method Distribution</a:t>
            </a:r>
          </a:p>
        </c:rich>
      </c:tx>
      <c:layout>
        <c:manualLayout>
          <c:xMode val="edge"/>
          <c:yMode val="edge"/>
          <c:x val="0.34366666666666668"/>
          <c:y val="9.1571886847477399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5"/>
      </c:pivotFmt>
      <c:pivotFmt>
        <c:idx val="6"/>
      </c:pivotFmt>
      <c:pivotFmt>
        <c:idx val="7"/>
      </c:pivotFmt>
      <c:pivotFmt>
        <c:idx val="8"/>
      </c:pivotFmt>
      <c:pivotFmt>
        <c:idx val="9"/>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3272703412073492"/>
          <c:y val="0.27664151356080491"/>
          <c:w val="0.75060629921259847"/>
          <c:h val="0.66317330125400986"/>
        </c:manualLayout>
      </c:layout>
      <c:pie3DChart>
        <c:varyColors val="1"/>
        <c:ser>
          <c:idx val="0"/>
          <c:order val="0"/>
          <c:tx>
            <c:strRef>
              <c:f>'pivot table'!$B$20</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7881-435A-949F-673D6D0DA3A4}"/>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7881-435A-949F-673D6D0DA3A4}"/>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7881-435A-949F-673D6D0DA3A4}"/>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7881-435A-949F-673D6D0DA3A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table'!$A$21:$A$25</c:f>
              <c:strCache>
                <c:ptCount val="4"/>
                <c:pt idx="0">
                  <c:v>Card</c:v>
                </c:pt>
                <c:pt idx="1">
                  <c:v>Cash</c:v>
                </c:pt>
                <c:pt idx="2">
                  <c:v>Net Banking</c:v>
                </c:pt>
                <c:pt idx="3">
                  <c:v>UPI</c:v>
                </c:pt>
              </c:strCache>
            </c:strRef>
          </c:cat>
          <c:val>
            <c:numRef>
              <c:f>'pivot table'!$B$21:$B$25</c:f>
              <c:numCache>
                <c:formatCode>General</c:formatCode>
                <c:ptCount val="4"/>
                <c:pt idx="0">
                  <c:v>5</c:v>
                </c:pt>
                <c:pt idx="1">
                  <c:v>8</c:v>
                </c:pt>
                <c:pt idx="2">
                  <c:v>4</c:v>
                </c:pt>
                <c:pt idx="3">
                  <c:v>5</c:v>
                </c:pt>
              </c:numCache>
            </c:numRef>
          </c:val>
          <c:extLst>
            <c:ext xmlns:c16="http://schemas.microsoft.com/office/drawing/2014/chart" uri="{C3380CC4-5D6E-409C-BE32-E72D297353CC}">
              <c16:uniqueId val="{00000008-7881-435A-949F-673D6D0DA3A4}"/>
            </c:ext>
          </c:extLst>
        </c:ser>
        <c:dLbls>
          <c:dLblPos val="inEnd"/>
          <c:showLegendKey val="0"/>
          <c:showVal val="0"/>
          <c:showCatName val="0"/>
          <c:showSerName val="0"/>
          <c:showPercent val="1"/>
          <c:showBubbleSize val="0"/>
          <c:showLeaderLines val="1"/>
        </c:dLbls>
      </c:pie3D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solidFill>
    <a:ln w="9525" cap="flat" cmpd="sng" algn="ctr">
      <a:noFill/>
      <a:round/>
    </a:ln>
    <a:effectLst>
      <a:softEdge rad="12700"/>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[Dashboard.xlsm]pivot table!PivotTable5</c:name>
    <c:fmtId val="7"/>
  </c:pivotSource>
  <c:chart>
    <c:autoTitleDeleted val="1"/>
    <c:pivotFmts>
      <c:pivotFmt>
        <c:idx val="0"/>
        <c:spPr>
          <a:solidFill>
            <a:schemeClr val="accent5"/>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5"/>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5">
              <a:tint val="65000"/>
            </a:schemeClr>
          </a:solidFill>
          <a:ln>
            <a:noFill/>
          </a:ln>
          <a:effectLst>
            <a:outerShdw blurRad="317500" algn="ctr" rotWithShape="0">
              <a:prstClr val="black">
                <a:alpha val="25000"/>
              </a:prstClr>
            </a:outerShdw>
          </a:effectLst>
        </c:spPr>
      </c:pivotFmt>
      <c:pivotFmt>
        <c:idx val="3"/>
        <c:spPr>
          <a:solidFill>
            <a:schemeClr val="accent5"/>
          </a:solidFill>
          <a:ln>
            <a:noFill/>
          </a:ln>
          <a:effectLst>
            <a:outerShdw blurRad="317500" algn="ctr" rotWithShape="0">
              <a:prstClr val="black">
                <a:alpha val="25000"/>
              </a:prstClr>
            </a:outerShdw>
          </a:effectLst>
        </c:spPr>
      </c:pivotFmt>
      <c:pivotFmt>
        <c:idx val="4"/>
        <c:spPr>
          <a:solidFill>
            <a:schemeClr val="accent5">
              <a:shade val="65000"/>
            </a:schemeClr>
          </a:solidFill>
          <a:ln>
            <a:noFill/>
          </a:ln>
          <a:effectLst>
            <a:outerShdw blurRad="317500" algn="ctr" rotWithShape="0">
              <a:prstClr val="black">
                <a:alpha val="25000"/>
              </a:prstClr>
            </a:outerShdw>
          </a:effectLst>
        </c:spPr>
      </c:pivotFmt>
      <c:pivotFmt>
        <c:idx val="5"/>
        <c:spPr>
          <a:solidFill>
            <a:schemeClr val="accent5"/>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5">
              <a:tint val="65000"/>
            </a:schemeClr>
          </a:solidFill>
          <a:ln>
            <a:noFill/>
          </a:ln>
          <a:effectLst>
            <a:outerShdw blurRad="317500" algn="ctr" rotWithShape="0">
              <a:prstClr val="black">
                <a:alpha val="25000"/>
              </a:prstClr>
            </a:outerShdw>
          </a:effectLst>
        </c:spPr>
      </c:pivotFmt>
      <c:pivotFmt>
        <c:idx val="7"/>
        <c:spPr>
          <a:solidFill>
            <a:schemeClr val="accent5"/>
          </a:solidFill>
          <a:ln>
            <a:noFill/>
          </a:ln>
          <a:effectLst>
            <a:outerShdw blurRad="317500" algn="ctr" rotWithShape="0">
              <a:prstClr val="black">
                <a:alpha val="25000"/>
              </a:prstClr>
            </a:outerShdw>
          </a:effectLst>
        </c:spPr>
      </c:pivotFmt>
      <c:pivotFmt>
        <c:idx val="8"/>
        <c:spPr>
          <a:solidFill>
            <a:schemeClr val="accent5">
              <a:shade val="65000"/>
            </a:schemeClr>
          </a:solidFill>
          <a:ln>
            <a:noFill/>
          </a:ln>
          <a:effectLst>
            <a:outerShdw blurRad="317500" algn="ctr" rotWithShape="0">
              <a:prstClr val="black">
                <a:alpha val="25000"/>
              </a:prstClr>
            </a:outerShdw>
          </a:effectLst>
        </c:spPr>
      </c:pivotFmt>
      <c:pivotFmt>
        <c:idx val="9"/>
        <c:spPr>
          <a:solidFill>
            <a:schemeClr val="accent5"/>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5">
              <a:tint val="65000"/>
            </a:schemeClr>
          </a:solidFill>
          <a:ln>
            <a:noFill/>
          </a:ln>
          <a:effectLst>
            <a:outerShdw blurRad="317500" algn="ctr" rotWithShape="0">
              <a:prstClr val="black">
                <a:alpha val="25000"/>
              </a:prstClr>
            </a:outerShdw>
          </a:effectLst>
        </c:spPr>
      </c:pivotFmt>
      <c:pivotFmt>
        <c:idx val="11"/>
        <c:spPr>
          <a:solidFill>
            <a:schemeClr val="accent5"/>
          </a:solidFill>
          <a:ln>
            <a:noFill/>
          </a:ln>
          <a:effectLst>
            <a:outerShdw blurRad="317500" algn="ctr" rotWithShape="0">
              <a:prstClr val="black">
                <a:alpha val="25000"/>
              </a:prstClr>
            </a:outerShdw>
          </a:effectLst>
        </c:spPr>
      </c:pivotFmt>
      <c:pivotFmt>
        <c:idx val="12"/>
        <c:spPr>
          <a:solidFill>
            <a:schemeClr val="accent5">
              <a:shade val="65000"/>
            </a:schemeClr>
          </a:solidFill>
          <a:ln>
            <a:noFill/>
          </a:ln>
          <a:effectLst>
            <a:outerShdw blurRad="317500" algn="ctr" rotWithShape="0">
              <a:prstClr val="black">
                <a:alpha val="25000"/>
              </a:prstClr>
            </a:outerShdw>
          </a:effectLst>
        </c:spPr>
      </c:pivotFmt>
      <c:pivotFmt>
        <c:idx val="13"/>
        <c:spPr>
          <a:solidFill>
            <a:schemeClr val="accent5"/>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5">
              <a:tint val="65000"/>
            </a:schemeClr>
          </a:solidFill>
          <a:ln>
            <a:noFill/>
          </a:ln>
          <a:effectLst>
            <a:outerShdw blurRad="317500" algn="ctr" rotWithShape="0">
              <a:prstClr val="black">
                <a:alpha val="25000"/>
              </a:prstClr>
            </a:outerShdw>
          </a:effectLst>
        </c:spPr>
      </c:pivotFmt>
      <c:pivotFmt>
        <c:idx val="15"/>
        <c:spPr>
          <a:solidFill>
            <a:schemeClr val="accent5"/>
          </a:solidFill>
          <a:ln>
            <a:noFill/>
          </a:ln>
          <a:effectLst>
            <a:outerShdw blurRad="317500" algn="ctr" rotWithShape="0">
              <a:prstClr val="black">
                <a:alpha val="25000"/>
              </a:prstClr>
            </a:outerShdw>
          </a:effectLst>
        </c:spPr>
      </c:pivotFmt>
      <c:pivotFmt>
        <c:idx val="16"/>
        <c:spPr>
          <a:solidFill>
            <a:schemeClr val="accent5">
              <a:shade val="65000"/>
            </a:schemeClr>
          </a:solidFill>
          <a:ln>
            <a:noFill/>
          </a:ln>
          <a:effectLst>
            <a:outerShdw blurRad="317500" algn="ctr" rotWithShape="0">
              <a:prstClr val="black">
                <a:alpha val="25000"/>
              </a:prstClr>
            </a:outerShdw>
          </a:effectLst>
        </c:spPr>
      </c:pivotFmt>
      <c:pivotFmt>
        <c:idx val="17"/>
        <c:spPr>
          <a:solidFill>
            <a:schemeClr val="accent5"/>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5">
              <a:tint val="77000"/>
            </a:schemeClr>
          </a:solidFill>
          <a:ln>
            <a:noFill/>
          </a:ln>
          <a:effectLst>
            <a:outerShdw blurRad="317500" algn="ctr" rotWithShape="0">
              <a:prstClr val="black">
                <a:alpha val="25000"/>
              </a:prstClr>
            </a:outerShdw>
          </a:effectLst>
        </c:spPr>
      </c:pivotFmt>
      <c:pivotFmt>
        <c:idx val="19"/>
        <c:spPr>
          <a:solidFill>
            <a:schemeClr val="accent5">
              <a:shade val="76000"/>
            </a:schemeClr>
          </a:solidFill>
          <a:ln>
            <a:noFill/>
          </a:ln>
          <a:effectLst>
            <a:outerShdw blurRad="317500" algn="ctr" rotWithShape="0">
              <a:prstClr val="black">
                <a:alpha val="25000"/>
              </a:prstClr>
            </a:outerShdw>
          </a:effectLst>
        </c:spPr>
      </c:pivotFmt>
      <c:pivotFmt>
        <c:idx val="20"/>
        <c:spPr>
          <a:solidFill>
            <a:schemeClr val="accent5"/>
          </a:solidFill>
          <a:ln>
            <a:noFill/>
          </a:ln>
          <a:effectLst>
            <a:outerShdw blurRad="317500" algn="ctr" rotWithShape="0">
              <a:prstClr val="black">
                <a:alpha val="25000"/>
              </a:prstClr>
            </a:outerShdw>
          </a:effectLst>
        </c:spPr>
      </c:pivotFmt>
    </c:pivotFmts>
    <c:plotArea>
      <c:layout/>
      <c:doughnutChart>
        <c:varyColors val="1"/>
        <c:ser>
          <c:idx val="0"/>
          <c:order val="0"/>
          <c:tx>
            <c:strRef>
              <c:f>'pivot table'!$E$10</c:f>
              <c:strCache>
                <c:ptCount val="1"/>
                <c:pt idx="0">
                  <c:v>Total</c:v>
                </c:pt>
              </c:strCache>
            </c:strRef>
          </c:tx>
          <c:dPt>
            <c:idx val="0"/>
            <c:bubble3D val="0"/>
            <c:spPr>
              <a:solidFill>
                <a:schemeClr val="accent5">
                  <a:tint val="77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5F5E-4D3A-B16F-DAA2BB3BE6D5}"/>
              </c:ext>
            </c:extLst>
          </c:dPt>
          <c:dPt>
            <c:idx val="1"/>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5F5E-4D3A-B16F-DAA2BB3BE6D5}"/>
              </c:ext>
            </c:extLst>
          </c:dPt>
          <c:dPt>
            <c:idx val="2"/>
            <c:bubble3D val="0"/>
            <c:spPr>
              <a:solidFill>
                <a:schemeClr val="accent5">
                  <a:shade val="7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5F5E-4D3A-B16F-DAA2BB3BE6D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table'!$D$11:$D$14</c:f>
              <c:strCache>
                <c:ptCount val="3"/>
                <c:pt idx="0">
                  <c:v>Corporate</c:v>
                </c:pt>
                <c:pt idx="1">
                  <c:v>Online</c:v>
                </c:pt>
                <c:pt idx="2">
                  <c:v>Retail</c:v>
                </c:pt>
              </c:strCache>
            </c:strRef>
          </c:cat>
          <c:val>
            <c:numRef>
              <c:f>'pivot table'!$E$11:$E$14</c:f>
              <c:numCache>
                <c:formatCode>General</c:formatCode>
                <c:ptCount val="3"/>
                <c:pt idx="0">
                  <c:v>72</c:v>
                </c:pt>
                <c:pt idx="1">
                  <c:v>55</c:v>
                </c:pt>
                <c:pt idx="2">
                  <c:v>71</c:v>
                </c:pt>
              </c:numCache>
            </c:numRef>
          </c:val>
          <c:extLst>
            <c:ext xmlns:c16="http://schemas.microsoft.com/office/drawing/2014/chart" uri="{C3380CC4-5D6E-409C-BE32-E72D297353CC}">
              <c16:uniqueId val="{00000006-5F5E-4D3A-B16F-DAA2BB3BE6D5}"/>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20000"/>
        <a:lumOff val="80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[Dashboard.xlsm]pivot table!PivotTable2</c:name>
    <c:fmtId val="2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noFill/>
          <a:ln w="19050" cap="flat" cmpd="sng" algn="ctr">
            <a:solidFill>
              <a:schemeClr val="lt1"/>
            </a:solidFill>
            <a:prstDash val="solid"/>
            <a:miter lim="800000"/>
          </a:ln>
          <a:effectLst/>
        </c:spPr>
        <c:marker>
          <c:spPr>
            <a:solidFill>
              <a:schemeClr val="accent5"/>
            </a:solidFill>
            <a:ln w="19050" cap="flat" cmpd="sng" algn="ctr">
              <a:solidFill>
                <a:schemeClr val="lt1"/>
              </a:solidFill>
              <a:prstDash val="solid"/>
              <a:miter lim="800000"/>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5"/>
            </a:solidFill>
            <a:miter lim="800000"/>
          </a:ln>
          <a:effectLst>
            <a:glow rad="139700">
              <a:schemeClr val="accent5">
                <a:satMod val="175000"/>
                <a:alpha val="14000"/>
              </a:schemeClr>
            </a:glow>
          </a:effectLst>
        </c:spPr>
        <c:marker>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49"/>
        <c:spPr>
          <a:ln w="22225" cap="rnd">
            <a:solidFill>
              <a:schemeClr val="accent5"/>
            </a:solidFill>
          </a:ln>
          <a:effectLst>
            <a:glow rad="139700">
              <a:schemeClr val="accent5">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953202576950608"/>
          <c:y val="0.19956483380484713"/>
          <c:w val="0.70877297065139588"/>
          <c:h val="0.66378422303595541"/>
        </c:manualLayout>
      </c:layout>
      <c:lineChart>
        <c:grouping val="standard"/>
        <c:varyColors val="0"/>
        <c:ser>
          <c:idx val="0"/>
          <c:order val="0"/>
          <c:tx>
            <c:strRef>
              <c:f>'pivot table'!$B$14</c:f>
              <c:strCache>
                <c:ptCount val="1"/>
                <c:pt idx="0">
                  <c:v>Total</c:v>
                </c:pt>
              </c:strCache>
            </c:strRef>
          </c:tx>
          <c:spPr>
            <a:ln w="22225" cap="rnd">
              <a:solidFill>
                <a:schemeClr val="accent5"/>
              </a:solidFill>
            </a:ln>
            <a:effectLst>
              <a:glow rad="139700">
                <a:schemeClr val="accent5">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cat>
            <c:strRef>
              <c:f>'pivot table'!$A$15:$A$18</c:f>
              <c:strCache>
                <c:ptCount val="3"/>
                <c:pt idx="0">
                  <c:v>Electronics</c:v>
                </c:pt>
                <c:pt idx="1">
                  <c:v>Furniture</c:v>
                </c:pt>
                <c:pt idx="2">
                  <c:v>Office</c:v>
                </c:pt>
              </c:strCache>
            </c:strRef>
          </c:cat>
          <c:val>
            <c:numRef>
              <c:f>'pivot table'!$B$15:$B$18</c:f>
              <c:numCache>
                <c:formatCode>0.00,,"M"</c:formatCode>
                <c:ptCount val="3"/>
                <c:pt idx="0">
                  <c:v>24667.23</c:v>
                </c:pt>
                <c:pt idx="1">
                  <c:v>67544.23</c:v>
                </c:pt>
                <c:pt idx="2">
                  <c:v>33693.06</c:v>
                </c:pt>
              </c:numCache>
            </c:numRef>
          </c:val>
          <c:smooth val="0"/>
          <c:extLst>
            <c:ext xmlns:c16="http://schemas.microsoft.com/office/drawing/2014/chart" uri="{C3380CC4-5D6E-409C-BE32-E72D297353CC}">
              <c16:uniqueId val="{00000000-6264-46A1-8EE2-0B3AAED92A21}"/>
            </c:ext>
          </c:extLst>
        </c:ser>
        <c:dLbls>
          <c:showLegendKey val="0"/>
          <c:showVal val="0"/>
          <c:showCatName val="0"/>
          <c:showSerName val="0"/>
          <c:showPercent val="0"/>
          <c:showBubbleSize val="0"/>
        </c:dLbls>
        <c:marker val="1"/>
        <c:smooth val="0"/>
        <c:axId val="852251888"/>
        <c:axId val="1437946480"/>
      </c:lineChart>
      <c:catAx>
        <c:axId val="8522518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437946480"/>
        <c:crosses val="autoZero"/>
        <c:auto val="1"/>
        <c:lblAlgn val="ctr"/>
        <c:lblOffset val="100"/>
        <c:noMultiLvlLbl val="0"/>
      </c:catAx>
      <c:valAx>
        <c:axId val="143794648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852251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25000">
          <a:schemeClr val="accent5">
            <a:lumMod val="40000"/>
            <a:lumOff val="60000"/>
          </a:schemeClr>
        </a:gs>
        <a:gs pos="84000">
          <a:schemeClr val="accent1">
            <a:lumMod val="60000"/>
            <a:lumOff val="40000"/>
          </a:schemeClr>
        </a:gs>
      </a:gsLst>
      <a:lin ang="16200000" scaled="1"/>
      <a:tileRect/>
    </a:gra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5">
  <a:schemeClr val="accent5"/>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5">
  <a:schemeClr val="accent5"/>
</cs:colorStyle>
</file>

<file path=xl/charts/colors8.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4.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8" Type="http://schemas.microsoft.com/office/2007/relationships/hdphoto" Target="../media/hdphoto1.wdp"/><Relationship Id="rId13" Type="http://schemas.openxmlformats.org/officeDocument/2006/relationships/image" Target="../media/image7.png"/><Relationship Id="rId3" Type="http://schemas.openxmlformats.org/officeDocument/2006/relationships/chart" Target="../charts/chart6.xml"/><Relationship Id="rId7" Type="http://schemas.openxmlformats.org/officeDocument/2006/relationships/image" Target="../media/image4.png"/><Relationship Id="rId12" Type="http://schemas.microsoft.com/office/2007/relationships/hdphoto" Target="../media/hdphoto3.wdp"/><Relationship Id="rId2" Type="http://schemas.openxmlformats.org/officeDocument/2006/relationships/image" Target="../media/image2.png"/><Relationship Id="rId1" Type="http://schemas.openxmlformats.org/officeDocument/2006/relationships/chart" Target="../charts/chart5.xml"/><Relationship Id="rId6" Type="http://schemas.openxmlformats.org/officeDocument/2006/relationships/image" Target="../media/image3.png"/><Relationship Id="rId11" Type="http://schemas.openxmlformats.org/officeDocument/2006/relationships/image" Target="../media/image6.png"/><Relationship Id="rId5" Type="http://schemas.openxmlformats.org/officeDocument/2006/relationships/chart" Target="../charts/chart8.xml"/><Relationship Id="rId10" Type="http://schemas.microsoft.com/office/2007/relationships/hdphoto" Target="../media/hdphoto2.wdp"/><Relationship Id="rId4" Type="http://schemas.openxmlformats.org/officeDocument/2006/relationships/chart" Target="../charts/chart7.xml"/><Relationship Id="rId9" Type="http://schemas.openxmlformats.org/officeDocument/2006/relationships/image" Target="../media/image5.png"/><Relationship Id="rId1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5</xdr:col>
      <xdr:colOff>365760</xdr:colOff>
      <xdr:row>12</xdr:row>
      <xdr:rowOff>7621</xdr:rowOff>
    </xdr:from>
    <xdr:to>
      <xdr:col>7</xdr:col>
      <xdr:colOff>423029</xdr:colOff>
      <xdr:row>19</xdr:row>
      <xdr:rowOff>152400</xdr:rowOff>
    </xdr:to>
    <mc:AlternateContent xmlns:mc="http://schemas.openxmlformats.org/markup-compatibility/2006" xmlns:a14="http://schemas.microsoft.com/office/drawing/2010/main">
      <mc:Choice Requires="a14">
        <xdr:graphicFrame macro="">
          <xdr:nvGraphicFramePr>
            <xdr:cNvPr id="2" name="Category">
              <a:extLst>
                <a:ext uri="{FF2B5EF4-FFF2-40B4-BE49-F238E27FC236}">
                  <a16:creationId xmlns:a16="http://schemas.microsoft.com/office/drawing/2014/main" id="{6DBC4CB6-7979-7C93-A242-E54E7BE4B74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678523" y="2175786"/>
              <a:ext cx="1832650" cy="14095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76200</xdr:colOff>
      <xdr:row>1</xdr:row>
      <xdr:rowOff>45721</xdr:rowOff>
    </xdr:from>
    <xdr:to>
      <xdr:col>7</xdr:col>
      <xdr:colOff>133469</xdr:colOff>
      <xdr:row>10</xdr:row>
      <xdr:rowOff>121921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41F1B97E-5048-CF7A-C3A7-096A4E0DDFD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562600" y="228601"/>
              <a:ext cx="1828800" cy="17221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563487</xdr:colOff>
      <xdr:row>4</xdr:row>
      <xdr:rowOff>128126</xdr:rowOff>
    </xdr:from>
    <xdr:to>
      <xdr:col>9</xdr:col>
      <xdr:colOff>647798</xdr:colOff>
      <xdr:row>13</xdr:row>
      <xdr:rowOff>82406</xdr:rowOff>
    </xdr:to>
    <mc:AlternateContent xmlns:mc="http://schemas.openxmlformats.org/markup-compatibility/2006" xmlns:a14="http://schemas.microsoft.com/office/drawing/2010/main">
      <mc:Choice Requires="a14">
        <xdr:graphicFrame macro="">
          <xdr:nvGraphicFramePr>
            <xdr:cNvPr id="7" name="Payment">
              <a:extLst>
                <a:ext uri="{FF2B5EF4-FFF2-40B4-BE49-F238E27FC236}">
                  <a16:creationId xmlns:a16="http://schemas.microsoft.com/office/drawing/2014/main" id="{76DC19C0-0D6C-70E7-2AB7-EF1A1566304F}"/>
                </a:ext>
              </a:extLst>
            </xdr:cNvPr>
            <xdr:cNvGraphicFramePr/>
          </xdr:nvGraphicFramePr>
          <xdr:xfrm>
            <a:off x="0" y="0"/>
            <a:ext cx="0" cy="0"/>
          </xdr:xfrm>
          <a:graphic>
            <a:graphicData uri="http://schemas.microsoft.com/office/drawing/2010/slicer">
              <sle:slicer xmlns:sle="http://schemas.microsoft.com/office/drawing/2010/slicer" name="Payment"/>
            </a:graphicData>
          </a:graphic>
        </xdr:graphicFrame>
      </mc:Choice>
      <mc:Fallback xmlns="">
        <xdr:sp macro="" textlink="">
          <xdr:nvSpPr>
            <xdr:cNvPr id="0" name=""/>
            <xdr:cNvSpPr>
              <a:spLocks noTextEdit="1"/>
            </xdr:cNvSpPr>
          </xdr:nvSpPr>
          <xdr:spPr>
            <a:xfrm>
              <a:off x="6863734" y="850848"/>
              <a:ext cx="1831471" cy="15804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408495</xdr:colOff>
      <xdr:row>14</xdr:row>
      <xdr:rowOff>30246</xdr:rowOff>
    </xdr:from>
    <xdr:to>
      <xdr:col>11</xdr:col>
      <xdr:colOff>69287</xdr:colOff>
      <xdr:row>27</xdr:row>
      <xdr:rowOff>119781</xdr:rowOff>
    </xdr:to>
    <mc:AlternateContent xmlns:mc="http://schemas.openxmlformats.org/markup-compatibility/2006" xmlns:a14="http://schemas.microsoft.com/office/drawing/2010/main">
      <mc:Choice Requires="a14">
        <xdr:graphicFrame macro="">
          <xdr:nvGraphicFramePr>
            <xdr:cNvPr id="3" name="Months (Date)">
              <a:extLst>
                <a:ext uri="{FF2B5EF4-FFF2-40B4-BE49-F238E27FC236}">
                  <a16:creationId xmlns:a16="http://schemas.microsoft.com/office/drawing/2014/main" id="{A721E4AD-9EC9-B2B0-C5A7-9422A2933C76}"/>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8272021" y="2559772"/>
              <a:ext cx="1828957" cy="24383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279583</xdr:colOff>
      <xdr:row>4</xdr:row>
      <xdr:rowOff>131896</xdr:rowOff>
    </xdr:from>
    <xdr:to>
      <xdr:col>12</xdr:col>
      <xdr:colOff>1008589</xdr:colOff>
      <xdr:row>18</xdr:row>
      <xdr:rowOff>69346</xdr:rowOff>
    </xdr:to>
    <mc:AlternateContent xmlns:mc="http://schemas.openxmlformats.org/markup-compatibility/2006" xmlns:a14="http://schemas.microsoft.com/office/drawing/2010/main">
      <mc:Choice Requires="a14">
        <xdr:graphicFrame macro="">
          <xdr:nvGraphicFramePr>
            <xdr:cNvPr id="20" name="CustomerType">
              <a:extLst>
                <a:ext uri="{FF2B5EF4-FFF2-40B4-BE49-F238E27FC236}">
                  <a16:creationId xmlns:a16="http://schemas.microsoft.com/office/drawing/2014/main" id="{FE033A0A-A6CF-D85A-0A5E-CD7A4C36CEEA}"/>
                </a:ext>
              </a:extLst>
            </xdr:cNvPr>
            <xdr:cNvGraphicFramePr/>
          </xdr:nvGraphicFramePr>
          <xdr:xfrm>
            <a:off x="0" y="0"/>
            <a:ext cx="0" cy="0"/>
          </xdr:xfrm>
          <a:graphic>
            <a:graphicData uri="http://schemas.microsoft.com/office/drawing/2010/slicer">
              <sle:slicer xmlns:sle="http://schemas.microsoft.com/office/drawing/2010/slicer" name="CustomerType"/>
            </a:graphicData>
          </a:graphic>
        </xdr:graphicFrame>
      </mc:Choice>
      <mc:Fallback xmlns="">
        <xdr:sp macro="" textlink="">
          <xdr:nvSpPr>
            <xdr:cNvPr id="0" name=""/>
            <xdr:cNvSpPr>
              <a:spLocks noTextEdit="1"/>
            </xdr:cNvSpPr>
          </xdr:nvSpPr>
          <xdr:spPr>
            <a:xfrm>
              <a:off x="10523377" y="854618"/>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365760</xdr:colOff>
      <xdr:row>1</xdr:row>
      <xdr:rowOff>53340</xdr:rowOff>
    </xdr:from>
    <xdr:to>
      <xdr:col>15</xdr:col>
      <xdr:colOff>213360</xdr:colOff>
      <xdr:row>13</xdr:row>
      <xdr:rowOff>72390</xdr:rowOff>
    </xdr:to>
    <xdr:graphicFrame macro="">
      <xdr:nvGraphicFramePr>
        <xdr:cNvPr id="3" name="Chart 2">
          <a:extLst>
            <a:ext uri="{FF2B5EF4-FFF2-40B4-BE49-F238E27FC236}">
              <a16:creationId xmlns:a16="http://schemas.microsoft.com/office/drawing/2014/main" id="{90118DE1-8D4A-46F8-856C-1D22DB39E4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127000</xdr:colOff>
      <xdr:row>0</xdr:row>
      <xdr:rowOff>87813</xdr:rowOff>
    </xdr:from>
    <xdr:to>
      <xdr:col>7</xdr:col>
      <xdr:colOff>429986</xdr:colOff>
      <xdr:row>14</xdr:row>
      <xdr:rowOff>156393</xdr:rowOff>
    </xdr:to>
    <xdr:grpSp>
      <xdr:nvGrpSpPr>
        <xdr:cNvPr id="10" name="Group 9">
          <a:extLst>
            <a:ext uri="{FF2B5EF4-FFF2-40B4-BE49-F238E27FC236}">
              <a16:creationId xmlns:a16="http://schemas.microsoft.com/office/drawing/2014/main" id="{B50ED994-FD32-E57F-E87C-E780A6F29A8E}"/>
            </a:ext>
          </a:extLst>
        </xdr:cNvPr>
        <xdr:cNvGrpSpPr/>
      </xdr:nvGrpSpPr>
      <xdr:grpSpPr>
        <a:xfrm>
          <a:off x="127000" y="87813"/>
          <a:ext cx="4542832" cy="2667195"/>
          <a:chOff x="127000" y="87813"/>
          <a:chExt cx="4557486" cy="2608580"/>
        </a:xfrm>
      </xdr:grpSpPr>
      <xdr:graphicFrame macro="">
        <xdr:nvGraphicFramePr>
          <xdr:cNvPr id="2" name="Chart 1">
            <a:extLst>
              <a:ext uri="{FF2B5EF4-FFF2-40B4-BE49-F238E27FC236}">
                <a16:creationId xmlns:a16="http://schemas.microsoft.com/office/drawing/2014/main" id="{48FD1F64-CF7F-4B3A-9CD8-2A45926AA2D6}"/>
              </a:ext>
            </a:extLst>
          </xdr:cNvPr>
          <xdr:cNvGraphicFramePr>
            <a:graphicFrameLocks/>
          </xdr:cNvGraphicFramePr>
        </xdr:nvGraphicFramePr>
        <xdr:xfrm>
          <a:off x="127000" y="87813"/>
          <a:ext cx="4557486" cy="2608580"/>
        </xdr:xfrm>
        <a:graphic>
          <a:graphicData uri="http://schemas.openxmlformats.org/drawingml/2006/chart">
            <c:chart xmlns:c="http://schemas.openxmlformats.org/drawingml/2006/chart" xmlns:r="http://schemas.openxmlformats.org/officeDocument/2006/relationships" r:id="rId2"/>
          </a:graphicData>
        </a:graphic>
      </xdr:graphicFrame>
      <xdr:pic>
        <xdr:nvPicPr>
          <xdr:cNvPr id="7" name="Picture 6">
            <a:extLst>
              <a:ext uri="{FF2B5EF4-FFF2-40B4-BE49-F238E27FC236}">
                <a16:creationId xmlns:a16="http://schemas.microsoft.com/office/drawing/2014/main" id="{B5E2650A-27A3-1E4D-43EF-D4194061191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38966" y="163286"/>
            <a:ext cx="763137" cy="704060"/>
          </a:xfrm>
          <a:prstGeom prst="ellipse">
            <a:avLst/>
          </a:prstGeom>
          <a:ln>
            <a:noFill/>
          </a:ln>
          <a:effectLst>
            <a:softEdge rad="112500"/>
          </a:effectLst>
        </xdr:spPr>
      </xdr:pic>
    </xdr:grpSp>
    <xdr:clientData/>
  </xdr:twoCellAnchor>
  <xdr:twoCellAnchor>
    <xdr:from>
      <xdr:col>8</xdr:col>
      <xdr:colOff>464820</xdr:colOff>
      <xdr:row>14</xdr:row>
      <xdr:rowOff>91440</xdr:rowOff>
    </xdr:from>
    <xdr:to>
      <xdr:col>16</xdr:col>
      <xdr:colOff>160020</xdr:colOff>
      <xdr:row>29</xdr:row>
      <xdr:rowOff>91440</xdr:rowOff>
    </xdr:to>
    <xdr:graphicFrame macro="">
      <xdr:nvGraphicFramePr>
        <xdr:cNvPr id="4" name="Chart 3">
          <a:extLst>
            <a:ext uri="{FF2B5EF4-FFF2-40B4-BE49-F238E27FC236}">
              <a16:creationId xmlns:a16="http://schemas.microsoft.com/office/drawing/2014/main" id="{23154393-5820-4B40-841A-714F3A6857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334917</xdr:colOff>
      <xdr:row>13</xdr:row>
      <xdr:rowOff>28667</xdr:rowOff>
    </xdr:from>
    <xdr:to>
      <xdr:col>19</xdr:col>
      <xdr:colOff>340359</xdr:colOff>
      <xdr:row>21</xdr:row>
      <xdr:rowOff>2177</xdr:rowOff>
    </xdr:to>
    <mc:AlternateContent xmlns:mc="http://schemas.openxmlformats.org/markup-compatibility/2006" xmlns:a14="http://schemas.microsoft.com/office/drawing/2010/main">
      <mc:Choice Requires="a14">
        <xdr:graphicFrame macro="">
          <xdr:nvGraphicFramePr>
            <xdr:cNvPr id="6" name="Category 1">
              <a:extLst>
                <a:ext uri="{FF2B5EF4-FFF2-40B4-BE49-F238E27FC236}">
                  <a16:creationId xmlns:a16="http://schemas.microsoft.com/office/drawing/2014/main" id="{CC84EE96-9AD7-41BD-BBB6-453118F70471}"/>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0138793" y="2377512"/>
              <a:ext cx="1843669" cy="14189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131354</xdr:colOff>
      <xdr:row>1</xdr:row>
      <xdr:rowOff>90714</xdr:rowOff>
    </xdr:from>
    <xdr:to>
      <xdr:col>27</xdr:col>
      <xdr:colOff>136797</xdr:colOff>
      <xdr:row>17</xdr:row>
      <xdr:rowOff>121557</xdr:rowOff>
    </xdr:to>
    <mc:AlternateContent xmlns:mc="http://schemas.openxmlformats.org/markup-compatibility/2006" xmlns:a14="http://schemas.microsoft.com/office/drawing/2010/main">
      <mc:Choice Requires="a14">
        <xdr:graphicFrame macro="">
          <xdr:nvGraphicFramePr>
            <xdr:cNvPr id="8" name="Sub Category 1">
              <a:extLst>
                <a:ext uri="{FF2B5EF4-FFF2-40B4-BE49-F238E27FC236}">
                  <a16:creationId xmlns:a16="http://schemas.microsoft.com/office/drawing/2014/main" id="{A52D43CA-6E8D-478C-BEAC-7394CE495FBB}"/>
                </a:ext>
              </a:extLst>
            </xdr:cNvPr>
            <xdr:cNvGraphicFramePr/>
          </xdr:nvGraphicFramePr>
          <xdr:xfrm>
            <a:off x="0" y="0"/>
            <a:ext cx="0" cy="0"/>
          </xdr:xfrm>
          <a:graphic>
            <a:graphicData uri="http://schemas.microsoft.com/office/drawing/2010/slicer">
              <sle:slicer xmlns:sle="http://schemas.microsoft.com/office/drawing/2010/slicer" name="Sub Category 1"/>
            </a:graphicData>
          </a:graphic>
        </xdr:graphicFrame>
      </mc:Choice>
      <mc:Fallback xmlns="">
        <xdr:sp macro="" textlink="">
          <xdr:nvSpPr>
            <xdr:cNvPr id="0" name=""/>
            <xdr:cNvSpPr>
              <a:spLocks noTextEdit="1"/>
            </xdr:cNvSpPr>
          </xdr:nvSpPr>
          <xdr:spPr>
            <a:xfrm>
              <a:off x="14718211" y="272143"/>
              <a:ext cx="1828800" cy="2933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63500</xdr:colOff>
      <xdr:row>2</xdr:row>
      <xdr:rowOff>23587</xdr:rowOff>
    </xdr:from>
    <xdr:to>
      <xdr:col>19</xdr:col>
      <xdr:colOff>68942</xdr:colOff>
      <xdr:row>11</xdr:row>
      <xdr:rowOff>112850</xdr:rowOff>
    </xdr:to>
    <mc:AlternateContent xmlns:mc="http://schemas.openxmlformats.org/markup-compatibility/2006" xmlns:a14="http://schemas.microsoft.com/office/drawing/2010/main">
      <mc:Choice Requires="a14">
        <xdr:graphicFrame macro="">
          <xdr:nvGraphicFramePr>
            <xdr:cNvPr id="9" name="Region 1">
              <a:extLst>
                <a:ext uri="{FF2B5EF4-FFF2-40B4-BE49-F238E27FC236}">
                  <a16:creationId xmlns:a16="http://schemas.microsoft.com/office/drawing/2014/main" id="{40ED8631-C681-43B8-A45B-AE7B3D9C499E}"/>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788071" y="386444"/>
              <a:ext cx="1828800" cy="17221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202743</xdr:colOff>
      <xdr:row>22</xdr:row>
      <xdr:rowOff>93074</xdr:rowOff>
    </xdr:from>
    <xdr:to>
      <xdr:col>21</xdr:col>
      <xdr:colOff>208187</xdr:colOff>
      <xdr:row>36</xdr:row>
      <xdr:rowOff>20796</xdr:rowOff>
    </xdr:to>
    <mc:AlternateContent xmlns:mc="http://schemas.openxmlformats.org/markup-compatibility/2006" xmlns:a14="http://schemas.microsoft.com/office/drawing/2010/main">
      <mc:Choice Requires="a14">
        <xdr:graphicFrame macro="">
          <xdr:nvGraphicFramePr>
            <xdr:cNvPr id="13" name="Months (Date) 1">
              <a:extLst>
                <a:ext uri="{FF2B5EF4-FFF2-40B4-BE49-F238E27FC236}">
                  <a16:creationId xmlns:a16="http://schemas.microsoft.com/office/drawing/2014/main" id="{915A0CEC-AFFF-4FA2-8829-A902D95C7FC4}"/>
                </a:ext>
              </a:extLst>
            </xdr:cNvPr>
            <xdr:cNvGraphicFramePr/>
          </xdr:nvGraphicFramePr>
          <xdr:xfrm>
            <a:off x="0" y="0"/>
            <a:ext cx="0" cy="0"/>
          </xdr:xfrm>
          <a:graphic>
            <a:graphicData uri="http://schemas.microsoft.com/office/drawing/2010/slicer">
              <sle:slicer xmlns:sle="http://schemas.microsoft.com/office/drawing/2010/slicer" name="Months (Date) 1"/>
            </a:graphicData>
          </a:graphic>
        </xdr:graphicFrame>
      </mc:Choice>
      <mc:Fallback xmlns="">
        <xdr:sp macro="" textlink="">
          <xdr:nvSpPr>
            <xdr:cNvPr id="0" name=""/>
            <xdr:cNvSpPr>
              <a:spLocks noTextEdit="1"/>
            </xdr:cNvSpPr>
          </xdr:nvSpPr>
          <xdr:spPr>
            <a:xfrm>
              <a:off x="11105205" y="4176612"/>
              <a:ext cx="1822520" cy="25263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354512</xdr:colOff>
      <xdr:row>17</xdr:row>
      <xdr:rowOff>6143</xdr:rowOff>
    </xdr:from>
    <xdr:to>
      <xdr:col>8</xdr:col>
      <xdr:colOff>24575</xdr:colOff>
      <xdr:row>32</xdr:row>
      <xdr:rowOff>39138</xdr:rowOff>
    </xdr:to>
    <xdr:graphicFrame macro="">
      <xdr:nvGraphicFramePr>
        <xdr:cNvPr id="15" name="Chart 14">
          <a:extLst>
            <a:ext uri="{FF2B5EF4-FFF2-40B4-BE49-F238E27FC236}">
              <a16:creationId xmlns:a16="http://schemas.microsoft.com/office/drawing/2014/main" id="{A3D38F2B-35F3-4795-888C-2754503372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20</xdr:col>
      <xdr:colOff>185615</xdr:colOff>
      <xdr:row>12</xdr:row>
      <xdr:rowOff>19539</xdr:rowOff>
    </xdr:from>
    <xdr:to>
      <xdr:col>23</xdr:col>
      <xdr:colOff>183239</xdr:colOff>
      <xdr:row>25</xdr:row>
      <xdr:rowOff>137669</xdr:rowOff>
    </xdr:to>
    <mc:AlternateContent xmlns:mc="http://schemas.openxmlformats.org/markup-compatibility/2006" xmlns:a14="http://schemas.microsoft.com/office/drawing/2010/main">
      <mc:Choice Requires="a14">
        <xdr:graphicFrame macro="">
          <xdr:nvGraphicFramePr>
            <xdr:cNvPr id="16" name="CustomerType 1">
              <a:extLst>
                <a:ext uri="{FF2B5EF4-FFF2-40B4-BE49-F238E27FC236}">
                  <a16:creationId xmlns:a16="http://schemas.microsoft.com/office/drawing/2014/main" id="{D0C7D1D9-7E91-49B3-AF82-47F3E5B72DC3}"/>
                </a:ext>
              </a:extLst>
            </xdr:cNvPr>
            <xdr:cNvGraphicFramePr/>
          </xdr:nvGraphicFramePr>
          <xdr:xfrm>
            <a:off x="0" y="0"/>
            <a:ext cx="0" cy="0"/>
          </xdr:xfrm>
          <a:graphic>
            <a:graphicData uri="http://schemas.microsoft.com/office/drawing/2010/slicer">
              <sle:slicer xmlns:sle="http://schemas.microsoft.com/office/drawing/2010/slicer" name="CustomerType 1"/>
            </a:graphicData>
          </a:graphic>
        </xdr:graphicFrame>
      </mc:Choice>
      <mc:Fallback xmlns="">
        <xdr:sp macro="" textlink="">
          <xdr:nvSpPr>
            <xdr:cNvPr id="0" name=""/>
            <xdr:cNvSpPr>
              <a:spLocks noTextEdit="1"/>
            </xdr:cNvSpPr>
          </xdr:nvSpPr>
          <xdr:spPr>
            <a:xfrm>
              <a:off x="12299461" y="2246924"/>
              <a:ext cx="1814701" cy="25311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22860</xdr:rowOff>
    </xdr:from>
    <xdr:to>
      <xdr:col>23</xdr:col>
      <xdr:colOff>376179</xdr:colOff>
      <xdr:row>41</xdr:row>
      <xdr:rowOff>153940</xdr:rowOff>
    </xdr:to>
    <xdr:sp macro="" textlink="">
      <xdr:nvSpPr>
        <xdr:cNvPr id="14" name="Rectangle 13">
          <a:extLst>
            <a:ext uri="{FF2B5EF4-FFF2-40B4-BE49-F238E27FC236}">
              <a16:creationId xmlns:a16="http://schemas.microsoft.com/office/drawing/2014/main" id="{E9B65D17-857D-29A5-FF78-88E151108203}"/>
            </a:ext>
          </a:extLst>
        </xdr:cNvPr>
        <xdr:cNvSpPr/>
      </xdr:nvSpPr>
      <xdr:spPr>
        <a:xfrm>
          <a:off x="0" y="22860"/>
          <a:ext cx="14361573" cy="7704898"/>
        </a:xfrm>
        <a:prstGeom prst="rect">
          <a:avLst/>
        </a:prstGeom>
        <a:gradFill flip="none" rotWithShape="1">
          <a:gsLst>
            <a:gs pos="68000">
              <a:srgbClr val="0070C0"/>
            </a:gs>
            <a:gs pos="36000">
              <a:schemeClr val="accent5">
                <a:lumMod val="40000"/>
                <a:lumOff val="60000"/>
              </a:schemeClr>
            </a:gs>
            <a:gs pos="84000">
              <a:schemeClr val="accent1">
                <a:lumMod val="60000"/>
                <a:lumOff val="40000"/>
              </a:schemeClr>
            </a:gs>
          </a:gsLst>
          <a:lin ang="5400000" scaled="1"/>
          <a:tileRect/>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ln>
              <a:solidFill>
                <a:srgbClr val="002060"/>
              </a:solidFill>
            </a:ln>
          </a:endParaRPr>
        </a:p>
      </xdr:txBody>
    </xdr:sp>
    <xdr:clientData/>
  </xdr:twoCellAnchor>
  <xdr:twoCellAnchor>
    <xdr:from>
      <xdr:col>3</xdr:col>
      <xdr:colOff>297488</xdr:colOff>
      <xdr:row>11</xdr:row>
      <xdr:rowOff>24903</xdr:rowOff>
    </xdr:from>
    <xdr:to>
      <xdr:col>12</xdr:col>
      <xdr:colOff>190808</xdr:colOff>
      <xdr:row>25</xdr:row>
      <xdr:rowOff>43332</xdr:rowOff>
    </xdr:to>
    <xdr:grpSp>
      <xdr:nvGrpSpPr>
        <xdr:cNvPr id="18" name="Group 17">
          <a:extLst>
            <a:ext uri="{FF2B5EF4-FFF2-40B4-BE49-F238E27FC236}">
              <a16:creationId xmlns:a16="http://schemas.microsoft.com/office/drawing/2014/main" id="{29A95004-4BB9-4E12-9435-24BD6739CF2C}"/>
            </a:ext>
          </a:extLst>
        </xdr:cNvPr>
        <xdr:cNvGrpSpPr/>
      </xdr:nvGrpSpPr>
      <xdr:grpSpPr>
        <a:xfrm>
          <a:off x="2137439" y="2069293"/>
          <a:ext cx="5413174" cy="2620380"/>
          <a:chOff x="1725165" y="2532060"/>
          <a:chExt cx="4557486" cy="2608580"/>
        </a:xfrm>
        <a:effectLst>
          <a:glow rad="101600">
            <a:schemeClr val="accent1">
              <a:satMod val="175000"/>
              <a:alpha val="40000"/>
            </a:schemeClr>
          </a:glow>
        </a:effectLst>
      </xdr:grpSpPr>
      <xdr:graphicFrame macro="">
        <xdr:nvGraphicFramePr>
          <xdr:cNvPr id="19" name="Chart 18">
            <a:extLst>
              <a:ext uri="{FF2B5EF4-FFF2-40B4-BE49-F238E27FC236}">
                <a16:creationId xmlns:a16="http://schemas.microsoft.com/office/drawing/2014/main" id="{3C84167B-1225-9B0B-801C-960F85B784E5}"/>
              </a:ext>
            </a:extLst>
          </xdr:cNvPr>
          <xdr:cNvGraphicFramePr>
            <a:graphicFrameLocks/>
          </xdr:cNvGraphicFramePr>
        </xdr:nvGraphicFramePr>
        <xdr:xfrm>
          <a:off x="1725165" y="2532060"/>
          <a:ext cx="4557486" cy="2608580"/>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20" name="Picture 19">
            <a:extLst>
              <a:ext uri="{FF2B5EF4-FFF2-40B4-BE49-F238E27FC236}">
                <a16:creationId xmlns:a16="http://schemas.microsoft.com/office/drawing/2014/main" id="{E06C23DB-34DA-FFE8-8A44-3DE949220BF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58160" y="2667063"/>
            <a:ext cx="687179" cy="633982"/>
          </a:xfrm>
          <a:prstGeom prst="ellipse">
            <a:avLst/>
          </a:prstGeom>
          <a:ln/>
        </xdr:spPr>
        <xdr:style>
          <a:lnRef idx="0">
            <a:schemeClr val="accent1"/>
          </a:lnRef>
          <a:fillRef idx="3">
            <a:schemeClr val="accent1"/>
          </a:fillRef>
          <a:effectRef idx="3">
            <a:schemeClr val="accent1"/>
          </a:effectRef>
          <a:fontRef idx="minor">
            <a:schemeClr val="lt1"/>
          </a:fontRef>
        </xdr:style>
      </xdr:pic>
    </xdr:grpSp>
    <xdr:clientData/>
  </xdr:twoCellAnchor>
  <xdr:twoCellAnchor>
    <xdr:from>
      <xdr:col>12</xdr:col>
      <xdr:colOff>594822</xdr:colOff>
      <xdr:row>11</xdr:row>
      <xdr:rowOff>37485</xdr:rowOff>
    </xdr:from>
    <xdr:to>
      <xdr:col>21</xdr:col>
      <xdr:colOff>564341</xdr:colOff>
      <xdr:row>25</xdr:row>
      <xdr:rowOff>48649</xdr:rowOff>
    </xdr:to>
    <xdr:graphicFrame macro="">
      <xdr:nvGraphicFramePr>
        <xdr:cNvPr id="22" name="Chart 21">
          <a:extLst>
            <a:ext uri="{FF2B5EF4-FFF2-40B4-BE49-F238E27FC236}">
              <a16:creationId xmlns:a16="http://schemas.microsoft.com/office/drawing/2014/main" id="{2FCD81D7-BD37-46A9-803D-0F68C304AE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289637</xdr:colOff>
      <xdr:row>26</xdr:row>
      <xdr:rowOff>125379</xdr:rowOff>
    </xdr:from>
    <xdr:to>
      <xdr:col>12</xdr:col>
      <xdr:colOff>160097</xdr:colOff>
      <xdr:row>40</xdr:row>
      <xdr:rowOff>105987</xdr:rowOff>
    </xdr:to>
    <xdr:graphicFrame macro="">
      <xdr:nvGraphicFramePr>
        <xdr:cNvPr id="23" name="Chart 22">
          <a:extLst>
            <a:ext uri="{FF2B5EF4-FFF2-40B4-BE49-F238E27FC236}">
              <a16:creationId xmlns:a16="http://schemas.microsoft.com/office/drawing/2014/main" id="{90158365-8753-4922-9043-E706F82F69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10794</xdr:colOff>
      <xdr:row>4</xdr:row>
      <xdr:rowOff>137477</xdr:rowOff>
    </xdr:from>
    <xdr:to>
      <xdr:col>2</xdr:col>
      <xdr:colOff>423544</xdr:colOff>
      <xdr:row>41</xdr:row>
      <xdr:rowOff>10160</xdr:rowOff>
    </xdr:to>
    <xdr:sp macro="" textlink="">
      <xdr:nvSpPr>
        <xdr:cNvPr id="25" name="Rectangle: Rounded Corners 24">
          <a:extLst>
            <a:ext uri="{FF2B5EF4-FFF2-40B4-BE49-F238E27FC236}">
              <a16:creationId xmlns:a16="http://schemas.microsoft.com/office/drawing/2014/main" id="{8DBD9D64-045A-26BA-B18E-71D59C1EE57E}"/>
            </a:ext>
          </a:extLst>
        </xdr:cNvPr>
        <xdr:cNvSpPr/>
      </xdr:nvSpPr>
      <xdr:spPr>
        <a:xfrm>
          <a:off x="10794" y="868997"/>
          <a:ext cx="1631950" cy="6639243"/>
        </a:xfrm>
        <a:prstGeom prst="roundRect">
          <a:avLst>
            <a:gd name="adj" fmla="val 7767"/>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65731</xdr:colOff>
      <xdr:row>5</xdr:row>
      <xdr:rowOff>19136</xdr:rowOff>
    </xdr:from>
    <xdr:to>
      <xdr:col>2</xdr:col>
      <xdr:colOff>342592</xdr:colOff>
      <xdr:row>21</xdr:row>
      <xdr:rowOff>114704</xdr:rowOff>
    </xdr:to>
    <mc:AlternateContent xmlns:mc="http://schemas.openxmlformats.org/markup-compatibility/2006" xmlns:a14="http://schemas.microsoft.com/office/drawing/2010/main">
      <mc:Choice Requires="a14">
        <xdr:graphicFrame macro="">
          <xdr:nvGraphicFramePr>
            <xdr:cNvPr id="24" name="Months (Date) 2">
              <a:extLst>
                <a:ext uri="{FF2B5EF4-FFF2-40B4-BE49-F238E27FC236}">
                  <a16:creationId xmlns:a16="http://schemas.microsoft.com/office/drawing/2014/main" id="{22144164-A10E-43DE-BFF4-3309FAC40F8F}"/>
                </a:ext>
              </a:extLst>
            </xdr:cNvPr>
            <xdr:cNvGraphicFramePr/>
          </xdr:nvGraphicFramePr>
          <xdr:xfrm>
            <a:off x="0" y="0"/>
            <a:ext cx="0" cy="0"/>
          </xdr:xfrm>
          <a:graphic>
            <a:graphicData uri="http://schemas.microsoft.com/office/drawing/2010/slicer">
              <sle:slicer xmlns:sle="http://schemas.microsoft.com/office/drawing/2010/slicer" name="Months (Date) 2"/>
            </a:graphicData>
          </a:graphic>
        </xdr:graphicFrame>
      </mc:Choice>
      <mc:Fallback xmlns="">
        <xdr:sp macro="" textlink="">
          <xdr:nvSpPr>
            <xdr:cNvPr id="0" name=""/>
            <xdr:cNvSpPr>
              <a:spLocks noTextEdit="1"/>
            </xdr:cNvSpPr>
          </xdr:nvSpPr>
          <xdr:spPr>
            <a:xfrm>
              <a:off x="65731" y="942772"/>
              <a:ext cx="1492982" cy="30512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88901</xdr:colOff>
      <xdr:row>22</xdr:row>
      <xdr:rowOff>3175</xdr:rowOff>
    </xdr:from>
    <xdr:to>
      <xdr:col>2</xdr:col>
      <xdr:colOff>350521</xdr:colOff>
      <xdr:row>31</xdr:row>
      <xdr:rowOff>114617</xdr:rowOff>
    </xdr:to>
    <mc:AlternateContent xmlns:mc="http://schemas.openxmlformats.org/markup-compatibility/2006" xmlns:a14="http://schemas.microsoft.com/office/drawing/2010/main">
      <mc:Choice Requires="a14">
        <xdr:graphicFrame macro="">
          <xdr:nvGraphicFramePr>
            <xdr:cNvPr id="26" name="Region 2">
              <a:extLst>
                <a:ext uri="{FF2B5EF4-FFF2-40B4-BE49-F238E27FC236}">
                  <a16:creationId xmlns:a16="http://schemas.microsoft.com/office/drawing/2014/main" id="{05B15195-B39F-4ADF-BA2A-FAB8E31C1E54}"/>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88901" y="4026535"/>
              <a:ext cx="1480820" cy="17573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81281</xdr:colOff>
      <xdr:row>32</xdr:row>
      <xdr:rowOff>9525</xdr:rowOff>
    </xdr:from>
    <xdr:to>
      <xdr:col>2</xdr:col>
      <xdr:colOff>350520</xdr:colOff>
      <xdr:row>40</xdr:row>
      <xdr:rowOff>120650</xdr:rowOff>
    </xdr:to>
    <mc:AlternateContent xmlns:mc="http://schemas.openxmlformats.org/markup-compatibility/2006" xmlns:a14="http://schemas.microsoft.com/office/drawing/2010/main">
      <mc:Choice Requires="a14">
        <xdr:graphicFrame macro="">
          <xdr:nvGraphicFramePr>
            <xdr:cNvPr id="28" name="CustomerType 2">
              <a:extLst>
                <a:ext uri="{FF2B5EF4-FFF2-40B4-BE49-F238E27FC236}">
                  <a16:creationId xmlns:a16="http://schemas.microsoft.com/office/drawing/2014/main" id="{9890B56C-0C46-4B1A-9ED3-3F79C943DC3F}"/>
                </a:ext>
              </a:extLst>
            </xdr:cNvPr>
            <xdr:cNvGraphicFramePr/>
          </xdr:nvGraphicFramePr>
          <xdr:xfrm>
            <a:off x="0" y="0"/>
            <a:ext cx="0" cy="0"/>
          </xdr:xfrm>
          <a:graphic>
            <a:graphicData uri="http://schemas.microsoft.com/office/drawing/2010/slicer">
              <sle:slicer xmlns:sle="http://schemas.microsoft.com/office/drawing/2010/slicer" name="CustomerType 2"/>
            </a:graphicData>
          </a:graphic>
        </xdr:graphicFrame>
      </mc:Choice>
      <mc:Fallback xmlns="">
        <xdr:sp macro="" textlink="">
          <xdr:nvSpPr>
            <xdr:cNvPr id="0" name=""/>
            <xdr:cNvSpPr>
              <a:spLocks noTextEdit="1"/>
            </xdr:cNvSpPr>
          </xdr:nvSpPr>
          <xdr:spPr>
            <a:xfrm>
              <a:off x="81281" y="5861685"/>
              <a:ext cx="1488439" cy="15741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69145</xdr:colOff>
      <xdr:row>26</xdr:row>
      <xdr:rowOff>137544</xdr:rowOff>
    </xdr:from>
    <xdr:to>
      <xdr:col>22</xdr:col>
      <xdr:colOff>2694</xdr:colOff>
      <xdr:row>40</xdr:row>
      <xdr:rowOff>74419</xdr:rowOff>
    </xdr:to>
    <xdr:graphicFrame macro="">
      <xdr:nvGraphicFramePr>
        <xdr:cNvPr id="29" name="Chart 28">
          <a:extLst>
            <a:ext uri="{FF2B5EF4-FFF2-40B4-BE49-F238E27FC236}">
              <a16:creationId xmlns:a16="http://schemas.microsoft.com/office/drawing/2014/main" id="{C692DDD3-0CFB-4328-BE32-30C4A55FEE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472438</xdr:colOff>
      <xdr:row>0</xdr:row>
      <xdr:rowOff>32703</xdr:rowOff>
    </xdr:from>
    <xdr:to>
      <xdr:col>23</xdr:col>
      <xdr:colOff>38100</xdr:colOff>
      <xdr:row>4</xdr:row>
      <xdr:rowOff>56514</xdr:rowOff>
    </xdr:to>
    <xdr:sp macro="" textlink="">
      <xdr:nvSpPr>
        <xdr:cNvPr id="31" name="Rectangle: Rounded Corners 30">
          <a:extLst>
            <a:ext uri="{FF2B5EF4-FFF2-40B4-BE49-F238E27FC236}">
              <a16:creationId xmlns:a16="http://schemas.microsoft.com/office/drawing/2014/main" id="{2E5ABDA8-6EA2-76E9-11E7-67E7D4C921E4}"/>
            </a:ext>
          </a:extLst>
        </xdr:cNvPr>
        <xdr:cNvSpPr/>
      </xdr:nvSpPr>
      <xdr:spPr>
        <a:xfrm>
          <a:off x="1691638" y="32703"/>
          <a:ext cx="12367262" cy="755331"/>
        </a:xfrm>
        <a:prstGeom prst="roundRect">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500" b="1" cap="none" spc="0">
              <a:ln w="9525">
                <a:solidFill>
                  <a:schemeClr val="tx1"/>
                </a:solidFill>
                <a:prstDash val="solid"/>
              </a:ln>
              <a:solidFill>
                <a:schemeClr val="accent5"/>
              </a:solidFill>
              <a:effectLst>
                <a:outerShdw blurRad="12700" dist="38100" dir="2700000" algn="tl" rotWithShape="0">
                  <a:schemeClr val="accent5">
                    <a:lumMod val="60000"/>
                    <a:lumOff val="40000"/>
                  </a:schemeClr>
                </a:outerShdw>
              </a:effectLst>
            </a:rPr>
            <a:t>SALES</a:t>
          </a:r>
          <a:r>
            <a:rPr lang="en-IN" sz="3500" b="1" cap="none" spc="0" baseline="0">
              <a:ln w="9525">
                <a:solidFill>
                  <a:schemeClr val="tx1"/>
                </a:solidFill>
                <a:prstDash val="solid"/>
              </a:ln>
              <a:solidFill>
                <a:schemeClr val="accent5"/>
              </a:solidFill>
              <a:effectLst>
                <a:outerShdw blurRad="12700" dist="38100" dir="2700000" algn="tl" rotWithShape="0">
                  <a:schemeClr val="accent5">
                    <a:lumMod val="60000"/>
                    <a:lumOff val="40000"/>
                  </a:schemeClr>
                </a:outerShdw>
              </a:effectLst>
            </a:rPr>
            <a:t> PERFORMANCE DASHBOARD</a:t>
          </a:r>
          <a:endParaRPr lang="en-IN" sz="3500" b="1" cap="none" spc="0">
            <a:ln w="9525">
              <a:solidFill>
                <a:schemeClr val="tx1"/>
              </a:solidFill>
              <a:prstDash val="solid"/>
            </a:ln>
            <a:solidFill>
              <a:schemeClr val="accent5"/>
            </a:solidFill>
            <a:effectLst>
              <a:outerShdw blurRad="12700" dist="38100" dir="2700000" algn="tl" rotWithShape="0">
                <a:schemeClr val="accent5">
                  <a:lumMod val="60000"/>
                  <a:lumOff val="40000"/>
                </a:schemeClr>
              </a:outerShdw>
            </a:effectLst>
          </a:endParaRPr>
        </a:p>
      </xdr:txBody>
    </xdr:sp>
    <xdr:clientData/>
  </xdr:twoCellAnchor>
  <xdr:twoCellAnchor>
    <xdr:from>
      <xdr:col>0</xdr:col>
      <xdr:colOff>45720</xdr:colOff>
      <xdr:row>0</xdr:row>
      <xdr:rowOff>39687</xdr:rowOff>
    </xdr:from>
    <xdr:to>
      <xdr:col>2</xdr:col>
      <xdr:colOff>411480</xdr:colOff>
      <xdr:row>4</xdr:row>
      <xdr:rowOff>76200</xdr:rowOff>
    </xdr:to>
    <xdr:sp macro="" textlink="">
      <xdr:nvSpPr>
        <xdr:cNvPr id="32" name="Rectangle: Rounded Corners 31">
          <a:extLst>
            <a:ext uri="{FF2B5EF4-FFF2-40B4-BE49-F238E27FC236}">
              <a16:creationId xmlns:a16="http://schemas.microsoft.com/office/drawing/2014/main" id="{52B91699-5CF7-062E-F766-AB4CAA00DF6B}"/>
            </a:ext>
          </a:extLst>
        </xdr:cNvPr>
        <xdr:cNvSpPr/>
      </xdr:nvSpPr>
      <xdr:spPr>
        <a:xfrm>
          <a:off x="45720" y="39687"/>
          <a:ext cx="1584960" cy="768033"/>
        </a:xfrm>
        <a:prstGeom prst="roundRect">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19</xdr:col>
      <xdr:colOff>521792</xdr:colOff>
      <xdr:row>0</xdr:row>
      <xdr:rowOff>377</xdr:rowOff>
    </xdr:from>
    <xdr:to>
      <xdr:col>21</xdr:col>
      <xdr:colOff>363043</xdr:colOff>
      <xdr:row>3</xdr:row>
      <xdr:rowOff>87689</xdr:rowOff>
    </xdr:to>
    <xdr:pic>
      <xdr:nvPicPr>
        <xdr:cNvPr id="34" name="Picture 33">
          <a:extLst>
            <a:ext uri="{FF2B5EF4-FFF2-40B4-BE49-F238E27FC236}">
              <a16:creationId xmlns:a16="http://schemas.microsoft.com/office/drawing/2014/main" id="{C683D7F7-28DE-908A-FF1F-F4D555034C2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2104192" y="377"/>
          <a:ext cx="1060451" cy="635952"/>
        </a:xfrm>
        <a:prstGeom prst="ellipse">
          <a:avLst/>
        </a:prstGeom>
        <a:ln>
          <a:noFill/>
        </a:ln>
        <a:effectLst>
          <a:softEdge rad="112500"/>
        </a:effectLst>
      </xdr:spPr>
    </xdr:pic>
    <xdr:clientData/>
  </xdr:twoCellAnchor>
  <xdr:twoCellAnchor editAs="oneCell">
    <xdr:from>
      <xdr:col>0</xdr:col>
      <xdr:colOff>175260</xdr:colOff>
      <xdr:row>0</xdr:row>
      <xdr:rowOff>60960</xdr:rowOff>
    </xdr:from>
    <xdr:to>
      <xdr:col>2</xdr:col>
      <xdr:colOff>121919</xdr:colOff>
      <xdr:row>3</xdr:row>
      <xdr:rowOff>129540</xdr:rowOff>
    </xdr:to>
    <xdr:pic>
      <xdr:nvPicPr>
        <xdr:cNvPr id="36" name="Picture 35">
          <a:extLst>
            <a:ext uri="{FF2B5EF4-FFF2-40B4-BE49-F238E27FC236}">
              <a16:creationId xmlns:a16="http://schemas.microsoft.com/office/drawing/2014/main" id="{22FAD8DC-6351-B105-5073-8632E9B54759}"/>
            </a:ext>
          </a:extLst>
        </xdr:cNvPr>
        <xdr:cNvPicPr>
          <a:picLocks noChangeAspect="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ackgroundRemoval t="10000" b="90000" l="10000" r="90000">
                      <a14:foregroundMark x1="40238" y1="24171" x2="40238" y2="24171"/>
                      <a14:foregroundMark x1="44524" y1="40284" x2="44524" y2="40284"/>
                      <a14:foregroundMark x1="27381" y1="72986" x2="27381" y2="72986"/>
                      <a14:foregroundMark x1="29048" y1="79858" x2="29048" y2="79858"/>
                      <a14:foregroundMark x1="29048" y1="79858" x2="29048" y2="79858"/>
                      <a14:foregroundMark x1="29048" y1="79858" x2="29048" y2="79858"/>
                      <a14:foregroundMark x1="29048" y1="79858" x2="29048" y2="79858"/>
                      <a14:foregroundMark x1="29048" y1="79858" x2="29048" y2="79858"/>
                      <a14:foregroundMark x1="29048" y1="79858" x2="29048" y2="79858"/>
                      <a14:foregroundMark x1="29048" y1="79858" x2="29048" y2="79858"/>
                      <a14:foregroundMark x1="61667" y1="67773" x2="50476" y2="74645"/>
                      <a14:foregroundMark x1="76429" y1="51422" x2="65238" y2="65166"/>
                      <a14:foregroundMark x1="45000" y1="58294" x2="45000" y2="62796"/>
                      <a14:foregroundMark x1="45952" y1="81043" x2="45952" y2="81043"/>
                      <a14:foregroundMark x1="45952" y1="81043" x2="45952" y2="81043"/>
                      <a14:foregroundMark x1="62619" y1="77014" x2="62619" y2="77014"/>
                      <a14:foregroundMark x1="62619" y1="77014" x2="62619" y2="77014"/>
                      <a14:foregroundMark x1="62619" y1="47393" x2="62619" y2="47393"/>
                      <a14:foregroundMark x1="62619" y1="47393" x2="62619" y2="47393"/>
                      <a14:foregroundMark x1="85476" y1="35545" x2="85476" y2="35545"/>
                      <a14:foregroundMark x1="75952" y1="88152" x2="75952" y2="88152"/>
                      <a14:foregroundMark x1="65000" y1="88863" x2="65000" y2="88863"/>
                    </a14:backgroundRemoval>
                  </a14:imgEffect>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tretch>
          <a:fillRect/>
        </a:stretch>
      </xdr:blipFill>
      <xdr:spPr>
        <a:xfrm>
          <a:off x="175260" y="60960"/>
          <a:ext cx="1165859" cy="617220"/>
        </a:xfrm>
        <a:prstGeom prst="rect">
          <a:avLst/>
        </a:prstGeom>
      </xdr:spPr>
    </xdr:pic>
    <xdr:clientData/>
  </xdr:twoCellAnchor>
  <xdr:twoCellAnchor>
    <xdr:from>
      <xdr:col>17</xdr:col>
      <xdr:colOff>496538</xdr:colOff>
      <xdr:row>5</xdr:row>
      <xdr:rowOff>13741</xdr:rowOff>
    </xdr:from>
    <xdr:to>
      <xdr:col>22</xdr:col>
      <xdr:colOff>321103</xdr:colOff>
      <xdr:row>9</xdr:row>
      <xdr:rowOff>108991</xdr:rowOff>
    </xdr:to>
    <xdr:sp macro="" textlink="'pivot table'!$I$23">
      <xdr:nvSpPr>
        <xdr:cNvPr id="44" name="Rectangle: Rounded Corners 43">
          <a:extLst>
            <a:ext uri="{FF2B5EF4-FFF2-40B4-BE49-F238E27FC236}">
              <a16:creationId xmlns:a16="http://schemas.microsoft.com/office/drawing/2014/main" id="{02533E74-E7A2-4B4D-B91F-52B2A95B57BD}"/>
            </a:ext>
          </a:extLst>
        </xdr:cNvPr>
        <xdr:cNvSpPr/>
      </xdr:nvSpPr>
      <xdr:spPr>
        <a:xfrm>
          <a:off x="10859738" y="928141"/>
          <a:ext cx="2872565" cy="82677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82010989-8E2D-451A-A52A-F6726DCDA878}" type="TxLink">
            <a:rPr lang="en-US" sz="1600" b="1" i="0" u="none" strike="noStrike">
              <a:solidFill>
                <a:srgbClr val="000000"/>
              </a:solidFill>
              <a:latin typeface="Arial" panose="020B0604020202020204" pitchFamily="34" charset="0"/>
              <a:ea typeface="Calibri"/>
              <a:cs typeface="Arial" panose="020B0604020202020204" pitchFamily="34" charset="0"/>
            </a:rPr>
            <a:pPr algn="ctr"/>
            <a:t>198</a:t>
          </a:fld>
          <a:endParaRPr lang="en-IN" sz="1600" b="1">
            <a:latin typeface="Arial" panose="020B0604020202020204" pitchFamily="34" charset="0"/>
            <a:cs typeface="Arial" panose="020B0604020202020204" pitchFamily="34" charset="0"/>
          </a:endParaRPr>
        </a:p>
      </xdr:txBody>
    </xdr:sp>
    <xdr:clientData/>
  </xdr:twoCellAnchor>
  <xdr:twoCellAnchor>
    <xdr:from>
      <xdr:col>3</xdr:col>
      <xdr:colOff>101599</xdr:colOff>
      <xdr:row>5</xdr:row>
      <xdr:rowOff>25400</xdr:rowOff>
    </xdr:from>
    <xdr:to>
      <xdr:col>7</xdr:col>
      <xdr:colOff>397932</xdr:colOff>
      <xdr:row>9</xdr:row>
      <xdr:rowOff>177800</xdr:rowOff>
    </xdr:to>
    <xdr:sp macro="" textlink="'pivot table'!$B$17">
      <xdr:nvSpPr>
        <xdr:cNvPr id="37" name="Rectangle: Rounded Corners 36">
          <a:extLst>
            <a:ext uri="{FF2B5EF4-FFF2-40B4-BE49-F238E27FC236}">
              <a16:creationId xmlns:a16="http://schemas.microsoft.com/office/drawing/2014/main" id="{CC569216-737A-557A-C1DA-A16DCCA4F1BB}"/>
            </a:ext>
          </a:extLst>
        </xdr:cNvPr>
        <xdr:cNvSpPr/>
      </xdr:nvSpPr>
      <xdr:spPr>
        <a:xfrm>
          <a:off x="1930399" y="956733"/>
          <a:ext cx="2734733" cy="8974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600" b="1" i="0" u="none" strike="noStrike">
            <a:solidFill>
              <a:srgbClr val="000000"/>
            </a:solidFill>
            <a:latin typeface="Calibri"/>
            <a:ea typeface="Calibri"/>
            <a:cs typeface="Calibri"/>
          </a:endParaRPr>
        </a:p>
        <a:p>
          <a:pPr algn="ctr"/>
          <a:fld id="{73827FDC-8781-4012-ACB6-9401D81F888E}" type="TxLink">
            <a:rPr lang="en-US" sz="1600" b="1" i="0" u="none" strike="noStrike">
              <a:solidFill>
                <a:srgbClr val="000000"/>
              </a:solidFill>
              <a:latin typeface="Calibri"/>
              <a:ea typeface="Calibri"/>
              <a:cs typeface="Calibri"/>
            </a:rPr>
            <a:pPr algn="ctr"/>
            <a:t>0.03M</a:t>
          </a:fld>
          <a:endParaRPr lang="en-US" sz="16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6</xdr:col>
      <xdr:colOff>76215</xdr:colOff>
      <xdr:row>4</xdr:row>
      <xdr:rowOff>142471</xdr:rowOff>
    </xdr:from>
    <xdr:to>
      <xdr:col>7</xdr:col>
      <xdr:colOff>572500</xdr:colOff>
      <xdr:row>10</xdr:row>
      <xdr:rowOff>127231</xdr:rowOff>
    </xdr:to>
    <xdr:pic>
      <xdr:nvPicPr>
        <xdr:cNvPr id="53" name="Picture 52">
          <a:extLst>
            <a:ext uri="{FF2B5EF4-FFF2-40B4-BE49-F238E27FC236}">
              <a16:creationId xmlns:a16="http://schemas.microsoft.com/office/drawing/2014/main" id="{F1BC3DC2-5133-999B-29F1-07F730248B14}"/>
            </a:ext>
          </a:extLst>
        </xdr:cNvPr>
        <xdr:cNvPicPr>
          <a:picLocks noChangeAspect="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backgroundRemoval t="10000" b="90000" l="10000" r="90000">
                      <a14:foregroundMark x1="37305" y1="68359" x2="37305" y2="68359"/>
                    </a14:backgroundRemoval>
                  </a14:imgEffect>
                </a14:imgLayer>
              </a14:imgProps>
            </a:ext>
            <a:ext uri="{28A0092B-C50C-407E-A947-70E740481C1C}">
              <a14:useLocalDpi xmlns:a14="http://schemas.microsoft.com/office/drawing/2010/main" val="0"/>
            </a:ext>
          </a:extLst>
        </a:blip>
        <a:stretch>
          <a:fillRect/>
        </a:stretch>
      </xdr:blipFill>
      <xdr:spPr>
        <a:xfrm>
          <a:off x="3733815" y="887538"/>
          <a:ext cx="1105885" cy="1102360"/>
        </a:xfrm>
        <a:prstGeom prst="rect">
          <a:avLst/>
        </a:prstGeom>
      </xdr:spPr>
    </xdr:pic>
    <xdr:clientData/>
  </xdr:twoCellAnchor>
  <xdr:twoCellAnchor>
    <xdr:from>
      <xdr:col>7</xdr:col>
      <xdr:colOff>567468</xdr:colOff>
      <xdr:row>5</xdr:row>
      <xdr:rowOff>43737</xdr:rowOff>
    </xdr:from>
    <xdr:to>
      <xdr:col>12</xdr:col>
      <xdr:colOff>388619</xdr:colOff>
      <xdr:row>9</xdr:row>
      <xdr:rowOff>138987</xdr:rowOff>
    </xdr:to>
    <xdr:grpSp>
      <xdr:nvGrpSpPr>
        <xdr:cNvPr id="58" name="Group 57">
          <a:extLst>
            <a:ext uri="{FF2B5EF4-FFF2-40B4-BE49-F238E27FC236}">
              <a16:creationId xmlns:a16="http://schemas.microsoft.com/office/drawing/2014/main" id="{5EC44424-666A-AA30-75BD-6C8A3BF6CE02}"/>
            </a:ext>
          </a:extLst>
        </xdr:cNvPr>
        <xdr:cNvGrpSpPr/>
      </xdr:nvGrpSpPr>
      <xdr:grpSpPr>
        <a:xfrm>
          <a:off x="4860688" y="973005"/>
          <a:ext cx="2887736" cy="838665"/>
          <a:chOff x="4644169" y="904797"/>
          <a:chExt cx="2773858" cy="826770"/>
        </a:xfrm>
      </xdr:grpSpPr>
      <xdr:sp macro="" textlink="'pivot table'!$E$24">
        <xdr:nvSpPr>
          <xdr:cNvPr id="41" name="Rectangle: Rounded Corners 40">
            <a:extLst>
              <a:ext uri="{FF2B5EF4-FFF2-40B4-BE49-F238E27FC236}">
                <a16:creationId xmlns:a16="http://schemas.microsoft.com/office/drawing/2014/main" id="{64E3E605-ED61-4A68-8731-19D65774D633}"/>
              </a:ext>
            </a:extLst>
          </xdr:cNvPr>
          <xdr:cNvSpPr/>
        </xdr:nvSpPr>
        <xdr:spPr>
          <a:xfrm>
            <a:off x="4644169" y="904797"/>
            <a:ext cx="2773858" cy="82677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2C963D9E-2611-48E8-A367-FA8F94786759}" type="TxLink">
              <a:rPr lang="en-US" sz="1600" b="1" i="0" u="none" strike="noStrike">
                <a:solidFill>
                  <a:sysClr val="windowText" lastClr="000000"/>
                </a:solidFill>
                <a:latin typeface="Calibri"/>
                <a:ea typeface="Calibri"/>
                <a:cs typeface="Calibri"/>
              </a:rPr>
              <a:pPr algn="ctr"/>
              <a:t>₹ 49,149</a:t>
            </a:fld>
            <a:endParaRPr lang="en-US" sz="1600" b="1">
              <a:solidFill>
                <a:sysClr val="windowText" lastClr="000000"/>
              </a:solidFill>
            </a:endParaRPr>
          </a:p>
        </xdr:txBody>
      </xdr:sp>
      <xdr:sp macro="" textlink="">
        <xdr:nvSpPr>
          <xdr:cNvPr id="55" name="TextBox 54">
            <a:extLst>
              <a:ext uri="{FF2B5EF4-FFF2-40B4-BE49-F238E27FC236}">
                <a16:creationId xmlns:a16="http://schemas.microsoft.com/office/drawing/2014/main" id="{44C8F97E-C56C-D836-8FBB-DBC33B515CD0}"/>
              </a:ext>
            </a:extLst>
          </xdr:cNvPr>
          <xdr:cNvSpPr txBox="1"/>
        </xdr:nvSpPr>
        <xdr:spPr>
          <a:xfrm>
            <a:off x="4876800" y="990600"/>
            <a:ext cx="22555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Arial" panose="020B0604020202020204" pitchFamily="34" charset="0"/>
                <a:cs typeface="Arial" panose="020B0604020202020204" pitchFamily="34" charset="0"/>
              </a:rPr>
              <a:t>Total</a:t>
            </a:r>
            <a:r>
              <a:rPr lang="en-IN" sz="1600" b="1" baseline="0">
                <a:latin typeface="Arial" panose="020B0604020202020204" pitchFamily="34" charset="0"/>
                <a:cs typeface="Arial" panose="020B0604020202020204" pitchFamily="34" charset="0"/>
              </a:rPr>
              <a:t> </a:t>
            </a:r>
            <a:r>
              <a:rPr lang="en-IN" sz="1600" b="1">
                <a:latin typeface="Arial" panose="020B0604020202020204" pitchFamily="34" charset="0"/>
                <a:cs typeface="Arial" panose="020B0604020202020204" pitchFamily="34" charset="0"/>
              </a:rPr>
              <a:t>Profit</a:t>
            </a:r>
          </a:p>
        </xdr:txBody>
      </xdr:sp>
      <xdr:pic>
        <xdr:nvPicPr>
          <xdr:cNvPr id="57" name="Picture 56">
            <a:extLst>
              <a:ext uri="{FF2B5EF4-FFF2-40B4-BE49-F238E27FC236}">
                <a16:creationId xmlns:a16="http://schemas.microsoft.com/office/drawing/2014/main" id="{53A192DC-D3D1-7C3C-47CE-3711353AA7F3}"/>
              </a:ext>
            </a:extLst>
          </xdr:cNvPr>
          <xdr:cNvPicPr>
            <a:picLocks noChangeAspect="1"/>
          </xdr:cNvPicPr>
        </xdr:nvPicPr>
        <xdr:blipFill>
          <a:blip xmlns:r="http://schemas.openxmlformats.org/officeDocument/2006/relationships" r:embed="rId11" cstate="print">
            <a:alphaModFix/>
            <a:duotone>
              <a:schemeClr val="accent4">
                <a:shade val="45000"/>
                <a:satMod val="135000"/>
              </a:schemeClr>
              <a:prstClr val="white"/>
            </a:duotone>
            <a:extLst>
              <a:ext uri="{BEBA8EAE-BF5A-486C-A8C5-ECC9F3942E4B}">
                <a14:imgProps xmlns:a14="http://schemas.microsoft.com/office/drawing/2010/main">
                  <a14:imgLayer r:embed="rId12">
                    <a14:imgEffect>
                      <a14:saturation sat="0"/>
                    </a14:imgEffect>
                    <a14:imgEffect>
                      <a14:brightnessContrast bright="20000" contrast="20000"/>
                    </a14:imgEffect>
                  </a14:imgLayer>
                </a14:imgProps>
              </a:ext>
              <a:ext uri="{28A0092B-C50C-407E-A947-70E740481C1C}">
                <a14:useLocalDpi xmlns:a14="http://schemas.microsoft.com/office/drawing/2010/main" val="0"/>
              </a:ext>
            </a:extLst>
          </a:blip>
          <a:stretch>
            <a:fillRect/>
          </a:stretch>
        </xdr:blipFill>
        <xdr:spPr>
          <a:xfrm>
            <a:off x="6712458" y="1111758"/>
            <a:ext cx="457962" cy="457962"/>
          </a:xfrm>
          <a:prstGeom prst="rect">
            <a:avLst/>
          </a:prstGeom>
        </xdr:spPr>
      </xdr:pic>
    </xdr:grpSp>
    <xdr:clientData/>
  </xdr:twoCellAnchor>
  <xdr:twoCellAnchor>
    <xdr:from>
      <xdr:col>18</xdr:col>
      <xdr:colOff>213360</xdr:colOff>
      <xdr:row>5</xdr:row>
      <xdr:rowOff>114300</xdr:rowOff>
    </xdr:from>
    <xdr:to>
      <xdr:col>22</xdr:col>
      <xdr:colOff>91440</xdr:colOff>
      <xdr:row>8</xdr:row>
      <xdr:rowOff>121120</xdr:rowOff>
    </xdr:to>
    <xdr:grpSp>
      <xdr:nvGrpSpPr>
        <xdr:cNvPr id="71" name="Group 70">
          <a:extLst>
            <a:ext uri="{FF2B5EF4-FFF2-40B4-BE49-F238E27FC236}">
              <a16:creationId xmlns:a16="http://schemas.microsoft.com/office/drawing/2014/main" id="{808DCAC9-2BE5-6551-776B-2730050842F4}"/>
            </a:ext>
          </a:extLst>
        </xdr:cNvPr>
        <xdr:cNvGrpSpPr/>
      </xdr:nvGrpSpPr>
      <xdr:grpSpPr>
        <a:xfrm>
          <a:off x="11253067" y="1043568"/>
          <a:ext cx="2331349" cy="564381"/>
          <a:chOff x="11186160" y="1028700"/>
          <a:chExt cx="2316480" cy="555460"/>
        </a:xfrm>
      </xdr:grpSpPr>
      <xdr:sp macro="" textlink="">
        <xdr:nvSpPr>
          <xdr:cNvPr id="65" name="TextBox 64">
            <a:extLst>
              <a:ext uri="{FF2B5EF4-FFF2-40B4-BE49-F238E27FC236}">
                <a16:creationId xmlns:a16="http://schemas.microsoft.com/office/drawing/2014/main" id="{91117EDD-74A0-D893-F100-EFA755C23114}"/>
              </a:ext>
            </a:extLst>
          </xdr:cNvPr>
          <xdr:cNvSpPr txBox="1"/>
        </xdr:nvSpPr>
        <xdr:spPr>
          <a:xfrm>
            <a:off x="11186160" y="1028700"/>
            <a:ext cx="231648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Arial" panose="020B0604020202020204" pitchFamily="34" charset="0"/>
                <a:cs typeface="Arial" panose="020B0604020202020204" pitchFamily="34" charset="0"/>
              </a:rPr>
              <a:t>Total Quantity</a:t>
            </a:r>
          </a:p>
        </xdr:txBody>
      </xdr:sp>
      <xdr:pic>
        <xdr:nvPicPr>
          <xdr:cNvPr id="63" name="Picture 62">
            <a:extLst>
              <a:ext uri="{FF2B5EF4-FFF2-40B4-BE49-F238E27FC236}">
                <a16:creationId xmlns:a16="http://schemas.microsoft.com/office/drawing/2014/main" id="{19031306-B8BB-817C-7ED1-62B6EF0295B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rot="10800000" flipH="1" flipV="1">
            <a:off x="13096010" y="1195540"/>
            <a:ext cx="405323" cy="388620"/>
          </a:xfrm>
          <a:prstGeom prst="rect">
            <a:avLst/>
          </a:prstGeom>
        </xdr:spPr>
      </xdr:pic>
    </xdr:grpSp>
    <xdr:clientData/>
  </xdr:twoCellAnchor>
  <xdr:twoCellAnchor>
    <xdr:from>
      <xdr:col>12</xdr:col>
      <xdr:colOff>480060</xdr:colOff>
      <xdr:row>5</xdr:row>
      <xdr:rowOff>39658</xdr:rowOff>
    </xdr:from>
    <xdr:to>
      <xdr:col>17</xdr:col>
      <xdr:colOff>390569</xdr:colOff>
      <xdr:row>9</xdr:row>
      <xdr:rowOff>134908</xdr:rowOff>
    </xdr:to>
    <xdr:grpSp>
      <xdr:nvGrpSpPr>
        <xdr:cNvPr id="72" name="Group 71">
          <a:extLst>
            <a:ext uri="{FF2B5EF4-FFF2-40B4-BE49-F238E27FC236}">
              <a16:creationId xmlns:a16="http://schemas.microsoft.com/office/drawing/2014/main" id="{F4D264D3-2FC6-670A-F1EB-2CE5FBE83274}"/>
            </a:ext>
          </a:extLst>
        </xdr:cNvPr>
        <xdr:cNvGrpSpPr/>
      </xdr:nvGrpSpPr>
      <xdr:grpSpPr>
        <a:xfrm>
          <a:off x="7839865" y="968926"/>
          <a:ext cx="2977094" cy="838665"/>
          <a:chOff x="7795260" y="954058"/>
          <a:chExt cx="2958509" cy="826770"/>
        </a:xfrm>
      </xdr:grpSpPr>
      <xdr:sp macro="" textlink="'pivot table'!$I$18">
        <xdr:nvSpPr>
          <xdr:cNvPr id="43" name="Rectangle: Rounded Corners 42">
            <a:extLst>
              <a:ext uri="{FF2B5EF4-FFF2-40B4-BE49-F238E27FC236}">
                <a16:creationId xmlns:a16="http://schemas.microsoft.com/office/drawing/2014/main" id="{3BFF0F76-9DC9-456D-B525-05B681C2B486}"/>
              </a:ext>
            </a:extLst>
          </xdr:cNvPr>
          <xdr:cNvSpPr/>
        </xdr:nvSpPr>
        <xdr:spPr>
          <a:xfrm>
            <a:off x="7840912" y="954058"/>
            <a:ext cx="2912857" cy="82677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0546F71-51A1-407F-874D-DF53AA2C2F1B}" type="TxLink">
              <a:rPr lang="en-US" sz="1600" b="1" i="0" u="none" strike="noStrike">
                <a:solidFill>
                  <a:srgbClr val="000000"/>
                </a:solidFill>
                <a:latin typeface="Arial" panose="020B0604020202020204" pitchFamily="34" charset="0"/>
                <a:ea typeface="Calibri"/>
                <a:cs typeface="Arial" panose="020B0604020202020204" pitchFamily="34" charset="0"/>
              </a:rPr>
              <a:pPr algn="ctr"/>
              <a:t>22</a:t>
            </a:fld>
            <a:endParaRPr lang="en-IN" sz="1600" b="1">
              <a:latin typeface="Arial" panose="020B0604020202020204" pitchFamily="34" charset="0"/>
              <a:cs typeface="Arial" panose="020B0604020202020204" pitchFamily="34" charset="0"/>
            </a:endParaRPr>
          </a:p>
        </xdr:txBody>
      </xdr:sp>
      <xdr:sp macro="" textlink="">
        <xdr:nvSpPr>
          <xdr:cNvPr id="59" name="TextBox 58">
            <a:extLst>
              <a:ext uri="{FF2B5EF4-FFF2-40B4-BE49-F238E27FC236}">
                <a16:creationId xmlns:a16="http://schemas.microsoft.com/office/drawing/2014/main" id="{FB87EE5B-5E45-C9B4-7E3C-BB7F0FF99640}"/>
              </a:ext>
            </a:extLst>
          </xdr:cNvPr>
          <xdr:cNvSpPr txBox="1"/>
        </xdr:nvSpPr>
        <xdr:spPr>
          <a:xfrm>
            <a:off x="7795260" y="1066800"/>
            <a:ext cx="2662418"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latin typeface="Arial" panose="020B0604020202020204" pitchFamily="34" charset="0"/>
                <a:cs typeface="Arial" panose="020B0604020202020204" pitchFamily="34" charset="0"/>
              </a:rPr>
              <a:t>Total</a:t>
            </a:r>
            <a:r>
              <a:rPr lang="en-IN" sz="1600" b="1" baseline="0">
                <a:latin typeface="Arial" panose="020B0604020202020204" pitchFamily="34" charset="0"/>
                <a:cs typeface="Arial" panose="020B0604020202020204" pitchFamily="34" charset="0"/>
              </a:rPr>
              <a:t> Products</a:t>
            </a:r>
            <a:endParaRPr lang="en-IN" sz="1600" b="1">
              <a:latin typeface="Arial" panose="020B0604020202020204" pitchFamily="34" charset="0"/>
              <a:cs typeface="Arial" panose="020B0604020202020204" pitchFamily="34" charset="0"/>
            </a:endParaRPr>
          </a:p>
        </xdr:txBody>
      </xdr:sp>
      <xdr:pic>
        <xdr:nvPicPr>
          <xdr:cNvPr id="69" name="Picture 68">
            <a:extLst>
              <a:ext uri="{FF2B5EF4-FFF2-40B4-BE49-F238E27FC236}">
                <a16:creationId xmlns:a16="http://schemas.microsoft.com/office/drawing/2014/main" id="{C1AA0970-165C-6795-BD6E-44495AA58A2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flipH="1">
            <a:off x="9926350" y="1112520"/>
            <a:ext cx="665449" cy="586740"/>
          </a:xfrm>
          <a:prstGeom prst="rect">
            <a:avLst/>
          </a:prstGeom>
        </xdr:spPr>
      </xdr:pic>
    </xdr:grpSp>
    <xdr:clientData/>
  </xdr:twoCellAnchor>
  <xdr:twoCellAnchor>
    <xdr:from>
      <xdr:col>3</xdr:col>
      <xdr:colOff>575733</xdr:colOff>
      <xdr:row>5</xdr:row>
      <xdr:rowOff>23955</xdr:rowOff>
    </xdr:from>
    <xdr:to>
      <xdr:col>6</xdr:col>
      <xdr:colOff>448733</xdr:colOff>
      <xdr:row>7</xdr:row>
      <xdr:rowOff>66288</xdr:rowOff>
    </xdr:to>
    <xdr:sp macro="" textlink="">
      <xdr:nvSpPr>
        <xdr:cNvPr id="2" name="TextBox 1">
          <a:extLst>
            <a:ext uri="{FF2B5EF4-FFF2-40B4-BE49-F238E27FC236}">
              <a16:creationId xmlns:a16="http://schemas.microsoft.com/office/drawing/2014/main" id="{23DA32C8-5070-2FD4-6417-048FF0C8AA86}"/>
            </a:ext>
          </a:extLst>
        </xdr:cNvPr>
        <xdr:cNvSpPr txBox="1"/>
      </xdr:nvSpPr>
      <xdr:spPr>
        <a:xfrm>
          <a:off x="2415684" y="953223"/>
          <a:ext cx="1712951" cy="414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latin typeface="Arial" panose="020B0604020202020204" pitchFamily="34" charset="0"/>
              <a:cs typeface="Arial" panose="020B0604020202020204" pitchFamily="34" charset="0"/>
            </a:rPr>
            <a:t>Total</a:t>
          </a:r>
          <a:r>
            <a:rPr lang="en-IN" sz="1600" b="1" baseline="0">
              <a:latin typeface="Arial" panose="020B0604020202020204" pitchFamily="34" charset="0"/>
              <a:cs typeface="Arial" panose="020B0604020202020204" pitchFamily="34" charset="0"/>
            </a:rPr>
            <a:t> Revenue</a:t>
          </a:r>
          <a:endParaRPr lang="en-IN" sz="1600" b="1">
            <a:latin typeface="Arial" panose="020B0604020202020204" pitchFamily="34" charset="0"/>
            <a:cs typeface="Arial" panose="020B0604020202020204" pitchFamily="34" charset="0"/>
          </a:endParaRPr>
        </a:p>
      </xdr:txBody>
    </xdr:sp>
    <xdr:clientData/>
  </xdr:twoCellAnchor>
</xdr:wsDr>
</file>

<file path=xl/drawings/drawing4.xml><?xml version="1.0" encoding="utf-8"?>
<c:userShapes xmlns:c="http://schemas.openxmlformats.org/drawingml/2006/chart">
  <cdr:relSizeAnchor xmlns:cdr="http://schemas.openxmlformats.org/drawingml/2006/chartDrawing">
    <cdr:from>
      <cdr:x>0.34727</cdr:x>
      <cdr:y>0.02849</cdr:y>
    </cdr:from>
    <cdr:to>
      <cdr:x>0.55273</cdr:x>
      <cdr:y>0.09117</cdr:y>
    </cdr:to>
    <cdr:sp macro="" textlink="">
      <cdr:nvSpPr>
        <cdr:cNvPr id="2" name="TextBox 1">
          <a:extLst xmlns:a="http://schemas.openxmlformats.org/drawingml/2006/main">
            <a:ext uri="{FF2B5EF4-FFF2-40B4-BE49-F238E27FC236}">
              <a16:creationId xmlns:a16="http://schemas.microsoft.com/office/drawing/2014/main" id="{F6CA468C-B425-552B-ACA6-08A58B55ACB2}"/>
            </a:ext>
          </a:extLst>
        </cdr:cNvPr>
        <cdr:cNvSpPr txBox="1"/>
      </cdr:nvSpPr>
      <cdr:spPr>
        <a:xfrm xmlns:a="http://schemas.openxmlformats.org/drawingml/2006/main">
          <a:off x="1516063" y="79374"/>
          <a:ext cx="896937" cy="1746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0.32545</cdr:x>
      <cdr:y>0.04261</cdr:y>
    </cdr:from>
    <cdr:to>
      <cdr:x>0.67091</cdr:x>
      <cdr:y>0.15297</cdr:y>
    </cdr:to>
    <cdr:sp macro="" textlink="">
      <cdr:nvSpPr>
        <cdr:cNvPr id="3" name="TextBox 2">
          <a:extLst xmlns:a="http://schemas.openxmlformats.org/drawingml/2006/main">
            <a:ext uri="{FF2B5EF4-FFF2-40B4-BE49-F238E27FC236}">
              <a16:creationId xmlns:a16="http://schemas.microsoft.com/office/drawing/2014/main" id="{4DCAED46-7AC6-25BA-54D9-A44C9653533F}"/>
            </a:ext>
          </a:extLst>
        </cdr:cNvPr>
        <cdr:cNvSpPr txBox="1"/>
      </cdr:nvSpPr>
      <cdr:spPr>
        <a:xfrm xmlns:a="http://schemas.openxmlformats.org/drawingml/2006/main">
          <a:off x="1420812" y="119378"/>
          <a:ext cx="1508125" cy="309247"/>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accent2"/>
        </a:fontRef>
      </cdr:style>
      <cdr:txBody>
        <a:bodyPr xmlns:a="http://schemas.openxmlformats.org/drawingml/2006/main" vertOverflow="clip" wrap="square" rtlCol="0"/>
        <a:lstStyle xmlns:a="http://schemas.openxmlformats.org/drawingml/2006/main"/>
        <a:p xmlns:a="http://schemas.openxmlformats.org/drawingml/2006/main">
          <a:r>
            <a:rPr lang="en-IN" sz="1400" b="1" kern="1200" cap="none" spc="0">
              <a:ln w="0"/>
              <a:solidFill>
                <a:schemeClr val="tx1"/>
              </a:solidFill>
              <a:effectLst>
                <a:outerShdw blurRad="38100" dist="19050" dir="2700000" algn="tl" rotWithShape="0">
                  <a:schemeClr val="dk1">
                    <a:alpha val="40000"/>
                  </a:schemeClr>
                </a:outerShdw>
              </a:effectLst>
            </a:rPr>
            <a:t>Average of Profit</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6227.935630092594" createdVersion="8" refreshedVersion="8" minRefreshableVersion="3" recordCount="299" xr:uid="{E51AFA51-0047-4084-ADBA-EC04C2D22B76}">
  <cacheSource type="worksheet">
    <worksheetSource ref="A1:N300" sheet="source data"/>
  </cacheSource>
  <cacheFields count="16">
    <cacheField name="OrderID" numFmtId="0">
      <sharedItems containsSemiMixedTypes="0" containsString="0" containsNumber="1" containsInteger="1" minValue="10001" maxValue="10299" count="299">
        <n v="10001"/>
        <n v="10002"/>
        <n v="10003"/>
        <n v="10004"/>
        <n v="10005"/>
        <n v="10006"/>
        <n v="10007"/>
        <n v="10008"/>
        <n v="10009"/>
        <n v="10010"/>
        <n v="10011"/>
        <n v="10012"/>
        <n v="10013"/>
        <n v="10014"/>
        <n v="10015"/>
        <n v="10016"/>
        <n v="10017"/>
        <n v="10018"/>
        <n v="10019"/>
        <n v="10020"/>
        <n v="10021"/>
        <n v="10022"/>
        <n v="10023"/>
        <n v="10024"/>
        <n v="10025"/>
        <n v="10026"/>
        <n v="10027"/>
        <n v="10028"/>
        <n v="10029"/>
        <n v="10030"/>
        <n v="10031"/>
        <n v="10032"/>
        <n v="10033"/>
        <n v="10034"/>
        <n v="10035"/>
        <n v="10036"/>
        <n v="10037"/>
        <n v="10038"/>
        <n v="10039"/>
        <n v="10040"/>
        <n v="10041"/>
        <n v="10042"/>
        <n v="10043"/>
        <n v="10044"/>
        <n v="10045"/>
        <n v="10046"/>
        <n v="10047"/>
        <n v="10048"/>
        <n v="10049"/>
        <n v="10050"/>
        <n v="10051"/>
        <n v="10052"/>
        <n v="10053"/>
        <n v="10054"/>
        <n v="10055"/>
        <n v="10056"/>
        <n v="10057"/>
        <n v="10058"/>
        <n v="10059"/>
        <n v="10060"/>
        <n v="10061"/>
        <n v="10062"/>
        <n v="10063"/>
        <n v="10064"/>
        <n v="10065"/>
        <n v="10066"/>
        <n v="10067"/>
        <n v="10068"/>
        <n v="10069"/>
        <n v="10070"/>
        <n v="10071"/>
        <n v="10072"/>
        <n v="10073"/>
        <n v="10074"/>
        <n v="10075"/>
        <n v="10076"/>
        <n v="10077"/>
        <n v="10078"/>
        <n v="10079"/>
        <n v="10080"/>
        <n v="10081"/>
        <n v="10082"/>
        <n v="10083"/>
        <n v="10084"/>
        <n v="10085"/>
        <n v="10086"/>
        <n v="10087"/>
        <n v="10088"/>
        <n v="10089"/>
        <n v="10090"/>
        <n v="10091"/>
        <n v="10092"/>
        <n v="10093"/>
        <n v="10094"/>
        <n v="10095"/>
        <n v="10096"/>
        <n v="10097"/>
        <n v="10098"/>
        <n v="10099"/>
        <n v="10100"/>
        <n v="10101"/>
        <n v="10102"/>
        <n v="10103"/>
        <n v="10104"/>
        <n v="10105"/>
        <n v="10106"/>
        <n v="10107"/>
        <n v="10108"/>
        <n v="10109"/>
        <n v="10110"/>
        <n v="10111"/>
        <n v="10112"/>
        <n v="10113"/>
        <n v="10114"/>
        <n v="10115"/>
        <n v="10116"/>
        <n v="10117"/>
        <n v="10118"/>
        <n v="10119"/>
        <n v="10120"/>
        <n v="10121"/>
        <n v="10122"/>
        <n v="10123"/>
        <n v="10124"/>
        <n v="10125"/>
        <n v="10126"/>
        <n v="10127"/>
        <n v="10128"/>
        <n v="10129"/>
        <n v="10130"/>
        <n v="10131"/>
        <n v="10132"/>
        <n v="10133"/>
        <n v="10134"/>
        <n v="10135"/>
        <n v="10136"/>
        <n v="10137"/>
        <n v="10138"/>
        <n v="10139"/>
        <n v="10140"/>
        <n v="10141"/>
        <n v="10142"/>
        <n v="10143"/>
        <n v="10144"/>
        <n v="10145"/>
        <n v="10146"/>
        <n v="10147"/>
        <n v="10148"/>
        <n v="10149"/>
        <n v="10150"/>
        <n v="10151"/>
        <n v="10152"/>
        <n v="10153"/>
        <n v="10154"/>
        <n v="10155"/>
        <n v="10156"/>
        <n v="10157"/>
        <n v="10158"/>
        <n v="10159"/>
        <n v="10160"/>
        <n v="10161"/>
        <n v="10162"/>
        <n v="10163"/>
        <n v="10164"/>
        <n v="10165"/>
        <n v="10166"/>
        <n v="10167"/>
        <n v="10168"/>
        <n v="10169"/>
        <n v="10170"/>
        <n v="10171"/>
        <n v="10172"/>
        <n v="10173"/>
        <n v="10174"/>
        <n v="10175"/>
        <n v="10176"/>
        <n v="10177"/>
        <n v="10178"/>
        <n v="10179"/>
        <n v="10180"/>
        <n v="10181"/>
        <n v="10182"/>
        <n v="10183"/>
        <n v="10184"/>
        <n v="10185"/>
        <n v="10186"/>
        <n v="10187"/>
        <n v="10188"/>
        <n v="10189"/>
        <n v="10190"/>
        <n v="10191"/>
        <n v="10192"/>
        <n v="10193"/>
        <n v="10194"/>
        <n v="10195"/>
        <n v="10196"/>
        <n v="10197"/>
        <n v="10198"/>
        <n v="10199"/>
        <n v="10200"/>
        <n v="10201"/>
        <n v="10202"/>
        <n v="10203"/>
        <n v="10204"/>
        <n v="10205"/>
        <n v="10206"/>
        <n v="10207"/>
        <n v="10208"/>
        <n v="10209"/>
        <n v="10210"/>
        <n v="10211"/>
        <n v="10212"/>
        <n v="10213"/>
        <n v="10214"/>
        <n v="10215"/>
        <n v="10216"/>
        <n v="10217"/>
        <n v="10218"/>
        <n v="10219"/>
        <n v="10220"/>
        <n v="10221"/>
        <n v="10222"/>
        <n v="10223"/>
        <n v="10224"/>
        <n v="10225"/>
        <n v="10226"/>
        <n v="10227"/>
        <n v="10228"/>
        <n v="10229"/>
        <n v="10230"/>
        <n v="10231"/>
        <n v="10232"/>
        <n v="10233"/>
        <n v="10234"/>
        <n v="10235"/>
        <n v="10236"/>
        <n v="10237"/>
        <n v="10238"/>
        <n v="10239"/>
        <n v="10240"/>
        <n v="10241"/>
        <n v="10242"/>
        <n v="10243"/>
        <n v="10244"/>
        <n v="10245"/>
        <n v="10246"/>
        <n v="10247"/>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0282"/>
        <n v="10283"/>
        <n v="10284"/>
        <n v="10285"/>
        <n v="10286"/>
        <n v="10287"/>
        <n v="10288"/>
        <n v="10289"/>
        <n v="10290"/>
        <n v="10291"/>
        <n v="10292"/>
        <n v="10293"/>
        <n v="10294"/>
        <n v="10295"/>
        <n v="10296"/>
        <n v="10297"/>
        <n v="10298"/>
        <n v="10299"/>
      </sharedItems>
    </cacheField>
    <cacheField name="Date" numFmtId="14">
      <sharedItems containsSemiMixedTypes="0" containsNonDate="0" containsDate="1" containsString="0" minDate="2025-01-07T00:00:00" maxDate="2026-01-01T00:00:00" count="199">
        <d v="2025-05-11T00:00:00"/>
        <d v="2025-01-26T00:00:00"/>
        <d v="2025-02-06T00:00:00"/>
        <d v="2025-08-04T00:00:00"/>
        <d v="2025-06-02T00:00:00"/>
        <d v="2025-02-26T00:00:00"/>
        <d v="2025-03-27T00:00:00"/>
        <d v="2025-12-02T00:00:00"/>
        <d v="2025-06-23T00:00:00"/>
        <d v="2025-03-16T00:00:00"/>
        <d v="2025-04-26T00:00:00"/>
        <d v="2025-09-29T00:00:00"/>
        <d v="2025-04-24T00:00:00"/>
        <d v="2025-04-08T00:00:00"/>
        <d v="2025-08-10T00:00:00"/>
        <d v="2025-06-19T00:00:00"/>
        <d v="2025-02-19T00:00:00"/>
        <d v="2025-03-12T00:00:00"/>
        <d v="2025-11-13T00:00:00"/>
        <d v="2025-05-07T00:00:00"/>
        <d v="2025-12-05T00:00:00"/>
        <d v="2025-09-23T00:00:00"/>
        <d v="2025-08-18T00:00:00"/>
        <d v="2025-10-29T00:00:00"/>
        <d v="2025-04-20T00:00:00"/>
        <d v="2025-04-28T00:00:00"/>
        <d v="2025-08-30T00:00:00"/>
        <d v="2025-11-02T00:00:00"/>
        <d v="2025-10-03T00:00:00"/>
        <d v="2025-03-07T00:00:00"/>
        <d v="2025-12-03T00:00:00"/>
        <d v="2025-05-14T00:00:00"/>
        <d v="2025-02-14T00:00:00"/>
        <d v="2025-03-20T00:00:00"/>
        <d v="2025-01-10T00:00:00"/>
        <d v="2025-03-24T00:00:00"/>
        <d v="2025-03-11T00:00:00"/>
        <d v="2025-05-16T00:00:00"/>
        <d v="2025-10-04T00:00:00"/>
        <d v="2025-07-11T00:00:00"/>
        <d v="2025-05-13T00:00:00"/>
        <d v="2025-10-08T00:00:00"/>
        <d v="2025-02-07T00:00:00"/>
        <d v="2025-01-27T00:00:00"/>
        <d v="2025-09-27T00:00:00"/>
        <d v="2025-04-01T00:00:00"/>
        <d v="2025-08-02T00:00:00"/>
        <d v="2025-12-11T00:00:00"/>
        <d v="2025-09-20T00:00:00"/>
        <d v="2025-10-23T00:00:00"/>
        <d v="2025-06-18T00:00:00"/>
        <d v="2025-12-19T00:00:00"/>
        <d v="2025-03-19T00:00:00"/>
        <d v="2025-11-03T00:00:00"/>
        <d v="2025-12-20T00:00:00"/>
        <d v="2025-07-23T00:00:00"/>
        <d v="2025-06-07T00:00:00"/>
        <d v="2025-06-15T00:00:00"/>
        <d v="2025-12-09T00:00:00"/>
        <d v="2025-02-17T00:00:00"/>
        <d v="2025-01-24T00:00:00"/>
        <d v="2025-12-18T00:00:00"/>
        <d v="2025-07-09T00:00:00"/>
        <d v="2025-05-28T00:00:00"/>
        <d v="2025-08-25T00:00:00"/>
        <d v="2025-09-07T00:00:00"/>
        <d v="2025-07-12T00:00:00"/>
        <d v="2025-11-24T00:00:00"/>
        <d v="2025-08-11T00:00:00"/>
        <d v="2025-08-29T00:00:00"/>
        <d v="2025-11-10T00:00:00"/>
        <d v="2025-01-20T00:00:00"/>
        <d v="2025-09-12T00:00:00"/>
        <d v="2025-03-10T00:00:00"/>
        <d v="2025-10-24T00:00:00"/>
        <d v="2025-05-12T00:00:00"/>
        <d v="2025-12-23T00:00:00"/>
        <d v="2025-02-08T00:00:00"/>
        <d v="2025-05-30T00:00:00"/>
        <d v="2025-05-01T00:00:00"/>
        <d v="2025-10-12T00:00:00"/>
        <d v="2025-04-21T00:00:00"/>
        <d v="2025-07-21T00:00:00"/>
        <d v="2025-01-13T00:00:00"/>
        <d v="2025-06-17T00:00:00"/>
        <d v="2025-02-05T00:00:00"/>
        <d v="2025-02-03T00:00:00"/>
        <d v="2025-06-08T00:00:00"/>
        <d v="2025-04-22T00:00:00"/>
        <d v="2025-04-23T00:00:00"/>
        <d v="2025-02-12T00:00:00"/>
        <d v="2025-07-01T00:00:00"/>
        <d v="2025-07-10T00:00:00"/>
        <d v="2025-03-17T00:00:00"/>
        <d v="2025-08-28T00:00:00"/>
        <d v="2025-10-05T00:00:00"/>
        <d v="2025-03-30T00:00:00"/>
        <d v="2025-03-21T00:00:00"/>
        <d v="2025-04-19T00:00:00"/>
        <d v="2025-09-06T00:00:00"/>
        <d v="2025-07-22T00:00:00"/>
        <d v="2025-05-25T00:00:00"/>
        <d v="2025-08-14T00:00:00"/>
        <d v="2025-10-22T00:00:00"/>
        <d v="2025-06-30T00:00:00"/>
        <d v="2025-09-10T00:00:00"/>
        <d v="2025-08-09T00:00:00"/>
        <d v="2025-01-09T00:00:00"/>
        <d v="2025-10-17T00:00:00"/>
        <d v="2025-10-19T00:00:00"/>
        <d v="2025-04-14T00:00:00"/>
        <d v="2025-05-03T00:00:00"/>
        <d v="2025-12-29T00:00:00"/>
        <d v="2025-06-14T00:00:00"/>
        <d v="2025-03-02T00:00:00"/>
        <d v="2025-10-11T00:00:00"/>
        <d v="2025-06-16T00:00:00"/>
        <d v="2025-05-04T00:00:00"/>
        <d v="2025-06-13T00:00:00"/>
        <d v="2025-05-19T00:00:00"/>
        <d v="2025-08-22T00:00:00"/>
        <d v="2025-04-07T00:00:00"/>
        <d v="2025-03-23T00:00:00"/>
        <d v="2025-03-14T00:00:00"/>
        <d v="2025-08-27T00:00:00"/>
        <d v="2025-12-25T00:00:00"/>
        <d v="2025-06-24T00:00:00"/>
        <d v="2025-10-25T00:00:00"/>
        <d v="2025-12-26T00:00:00"/>
        <d v="2025-12-30T00:00:00"/>
        <d v="2025-02-11T00:00:00"/>
        <d v="2025-06-22T00:00:00"/>
        <d v="2025-07-31T00:00:00"/>
        <d v="2025-08-21T00:00:00"/>
        <d v="2025-11-27T00:00:00"/>
        <d v="2025-12-06T00:00:00"/>
        <d v="2025-10-09T00:00:00"/>
        <d v="2025-12-21T00:00:00"/>
        <d v="2025-04-03T00:00:00"/>
        <d v="2025-11-20T00:00:00"/>
        <d v="2025-10-14T00:00:00"/>
        <d v="2025-05-15T00:00:00"/>
        <d v="2025-11-26T00:00:00"/>
        <d v="2025-08-01T00:00:00"/>
        <d v="2025-07-08T00:00:00"/>
        <d v="2025-11-21T00:00:00"/>
        <d v="2025-06-12T00:00:00"/>
        <d v="2025-09-11T00:00:00"/>
        <d v="2025-08-23T00:00:00"/>
        <d v="2025-08-03T00:00:00"/>
        <d v="2025-01-12T00:00:00"/>
        <d v="2025-08-20T00:00:00"/>
        <d v="2025-04-27T00:00:00"/>
        <d v="2025-09-16T00:00:00"/>
        <d v="2025-07-03T00:00:00"/>
        <d v="2025-09-09T00:00:00"/>
        <d v="2025-03-01T00:00:00"/>
        <d v="2025-06-20T00:00:00"/>
        <d v="2025-12-28T00:00:00"/>
        <d v="2025-09-22T00:00:00"/>
        <d v="2025-03-31T00:00:00"/>
        <d v="2025-03-18T00:00:00"/>
        <d v="2025-01-21T00:00:00"/>
        <d v="2025-04-15T00:00:00"/>
        <d v="2025-07-29T00:00:00"/>
        <d v="2025-01-07T00:00:00"/>
        <d v="2025-11-30T00:00:00"/>
        <d v="2025-01-11T00:00:00"/>
        <d v="2025-01-28T00:00:00"/>
        <d v="2025-09-26T00:00:00"/>
        <d v="2025-05-23T00:00:00"/>
        <d v="2025-04-16T00:00:00"/>
        <d v="2025-01-16T00:00:00"/>
        <d v="2025-09-08T00:00:00"/>
        <d v="2025-05-08T00:00:00"/>
        <d v="2025-04-25T00:00:00"/>
        <d v="2025-08-06T00:00:00"/>
        <d v="2025-09-19T00:00:00"/>
        <d v="2025-02-15T00:00:00"/>
        <d v="2025-11-16T00:00:00"/>
        <d v="2025-03-22T00:00:00"/>
        <d v="2025-12-08T00:00:00"/>
        <d v="2025-12-14T00:00:00"/>
        <d v="2025-11-17T00:00:00"/>
        <d v="2025-02-27T00:00:00"/>
        <d v="2025-12-31T00:00:00"/>
        <d v="2025-01-22T00:00:00"/>
        <d v="2025-11-07T00:00:00"/>
        <d v="2025-11-15T00:00:00"/>
        <d v="2025-06-25T00:00:00"/>
        <d v="2025-07-16T00:00:00"/>
        <d v="2025-08-15T00:00:00"/>
        <d v="2025-06-05T00:00:00"/>
        <d v="2025-07-04T00:00:00"/>
        <d v="2025-12-13T00:00:00"/>
        <d v="2025-11-09T00:00:00"/>
        <d v="2025-08-17T00:00:00"/>
        <d v="2025-08-24T00:00:00"/>
        <d v="2025-05-05T00:00:00"/>
      </sharedItems>
      <fieldGroup par="15"/>
    </cacheField>
    <cacheField name="Region" numFmtId="0">
      <sharedItems count="4">
        <s v="East"/>
        <s v="West"/>
        <s v="South"/>
        <s v="North"/>
      </sharedItems>
    </cacheField>
    <cacheField name="Category" numFmtId="0">
      <sharedItems count="3">
        <s v="Office"/>
        <s v="Furniture"/>
        <s v="Electronics"/>
      </sharedItems>
    </cacheField>
    <cacheField name="Sub Category" numFmtId="0">
      <sharedItems count="9">
        <s v="Pen"/>
        <s v="Chair"/>
        <s v="Table"/>
        <s v="Laptop"/>
        <s v="Desk"/>
        <s v="Paper"/>
        <s v="Phone"/>
        <s v="Printer"/>
        <s v="Headphones"/>
      </sharedItems>
    </cacheField>
    <cacheField name="Product" numFmtId="0">
      <sharedItems count="294">
        <s v="Pen Model 960"/>
        <s v="Chair Model 632"/>
        <s v="Chair Model 696"/>
        <s v="Chair Model 666"/>
        <s v="Table Model 489"/>
        <s v="Laptop Model 501"/>
        <s v="Desk Model 104"/>
        <s v="Paper Model 571"/>
        <s v="Paper Model 334"/>
        <s v="Laptop Model 628"/>
        <s v="Desk Model 737"/>
        <s v="Paper Model 937"/>
        <s v="Pen Model 993"/>
        <s v="Paper Model 663"/>
        <s v="Phone Model 929"/>
        <s v="Printer Model 983"/>
        <s v="Pen Model 397"/>
        <s v="Printer Model 880"/>
        <s v="Desk Model 767"/>
        <s v="Desk Model 359"/>
        <s v="Printer Model 537"/>
        <s v="Printer Model 346"/>
        <s v="Desk Model 901"/>
        <s v="Phone Model 261"/>
        <s v="Phone Model 257"/>
        <s v="Printer Model 259"/>
        <s v="Printer Model 955"/>
        <s v="Chair Model 199"/>
        <s v="Table Model 786"/>
        <s v="Table Model 544"/>
        <s v="Laptop Model 967"/>
        <s v="Headphones Model 975"/>
        <s v="Chair Model 900"/>
        <s v="Paper Model 749"/>
        <s v="Desk Model 731"/>
        <s v="Table Model 205"/>
        <s v="Headphones Model 403"/>
        <s v="Printer Model 703"/>
        <s v="Phone Model 192"/>
        <s v="Table Model 344"/>
        <s v="Pen Model 294"/>
        <s v="Printer Model 867"/>
        <s v="Paper Model 580"/>
        <s v="Table Model 186"/>
        <s v="Table Model 226"/>
        <s v="Paper Model 748"/>
        <s v="Chair Model 912"/>
        <s v="Laptop Model 677"/>
        <s v="Paper Model 627"/>
        <s v="Pen Model 425"/>
        <s v="Phone Model 228"/>
        <s v="Paper Model 703"/>
        <s v="Desk Model 203"/>
        <s v="Phone Model 983"/>
        <s v="Laptop Model 331"/>
        <s v="Phone Model 206"/>
        <s v="Paper Model 302"/>
        <s v="Printer Model 679"/>
        <s v="Laptop Model 313"/>
        <s v="Pen Model 182"/>
        <s v="Desk Model 550"/>
        <s v="Printer Model 251"/>
        <s v="Pen Model 677"/>
        <s v="Printer Model 484"/>
        <s v="Phone Model 807"/>
        <s v="Desk Model 673"/>
        <s v="Paper Model 134"/>
        <s v="Table Model 996"/>
        <s v="Phone Model 353"/>
        <s v="Chair Model 391"/>
        <s v="Laptop Model 784"/>
        <s v="Laptop Model 954"/>
        <s v="Paper Model 670"/>
        <s v="Paper Model 347"/>
        <s v="Paper Model 332"/>
        <s v="Chair Model 655"/>
        <s v="Laptop Model 448"/>
        <s v="Phone Model 466"/>
        <s v="Table Model 307"/>
        <s v="Headphones Model 782"/>
        <s v="Table Model 638"/>
        <s v="Desk Model 373"/>
        <s v="Pen Model 684"/>
        <s v="Chair Model 589"/>
        <s v="Pen Model 429"/>
        <s v="Laptop Model 888"/>
        <s v="Paper Model 295"/>
        <s v="Pen Model 646"/>
        <s v="Table Model 578"/>
        <s v="Chair Model 138"/>
        <s v="Chair Model 340"/>
        <s v="Pen Model 176"/>
        <s v="Desk Model 543"/>
        <s v="Desk Model 381"/>
        <s v="Desk Model 977"/>
        <s v="Pen Model 663"/>
        <s v="Headphones Model 649"/>
        <s v="Desk Model 251"/>
        <s v="Phone Model 162"/>
        <s v="Headphones Model 135"/>
        <s v="Chair Model 845"/>
        <s v="Table Model 751"/>
        <s v="Printer Model 371"/>
        <s v="Printer Model 459"/>
        <s v="Chair Model 506"/>
        <s v="Laptop Model 365"/>
        <s v="Table Model 437"/>
        <s v="Desk Model 233"/>
        <s v="Desk Model 205"/>
        <s v="Laptop Model 689"/>
        <s v="Headphones Model 976"/>
        <s v="Paper Model 827"/>
        <s v="Desk Model 135"/>
        <s v="Table Model 233"/>
        <s v="Paper Model 808"/>
        <s v="Desk Model 164"/>
        <s v="Table Model 881"/>
        <s v="Table Model 368"/>
        <s v="Printer Model 135"/>
        <s v="Laptop Model 697"/>
        <s v="Phone Model 291"/>
        <s v="Printer Model 820"/>
        <s v="Phone Model 869"/>
        <s v="Printer Model 844"/>
        <s v="Laptop Model 338"/>
        <s v="Phone Model 816"/>
        <s v="Headphones Model 775"/>
        <s v="Desk Model 536"/>
        <s v="Phone Model 294"/>
        <s v="Headphones Model 371"/>
        <s v="Chair Model 501"/>
        <s v="Phone Model 662"/>
        <s v="Paper Model 143"/>
        <s v="Headphones Model 643"/>
        <s v="Table Model 832"/>
        <s v="Desk Model 391"/>
        <s v="Table Model 449"/>
        <s v="Laptop Model 382"/>
        <s v="Chair Model 592"/>
        <s v="Table Model 153"/>
        <s v="Headphones Model 199"/>
        <s v="Printer Model 888"/>
        <s v="Laptop Model 295"/>
        <s v="Desk Model 547"/>
        <s v="Pen Model 526"/>
        <s v="Pen Model 421"/>
        <s v="Table Model 383"/>
        <s v="Laptop Model 317"/>
        <s v="Printer Model 249"/>
        <s v="Laptop Model 742"/>
        <s v="Phone Model 492"/>
        <s v="Headphones Model 573"/>
        <s v="Printer Model 425"/>
        <s v="Headphones Model 731"/>
        <s v="Laptop Model 881"/>
        <s v="Laptop Model 952"/>
        <s v="Paper Model 264"/>
        <s v="Pen Model 996"/>
        <s v="Headphones Model 813"/>
        <s v="Pen Model 255"/>
        <s v="Chair Model 905"/>
        <s v="Laptop Model 322"/>
        <s v="Headphones Model 184"/>
        <s v="Table Model 583"/>
        <s v="Headphones Model 685"/>
        <s v="Laptop Model 361"/>
        <s v="Laptop Model 444"/>
        <s v="Paper Model 386"/>
        <s v="Phone Model 480"/>
        <s v="Headphones Model 576"/>
        <s v="Table Model 698"/>
        <s v="Chair Model 929"/>
        <s v="Paper Model 336"/>
        <s v="Paper Model 806"/>
        <s v="Paper Model 962"/>
        <s v="Pen Model 700"/>
        <s v="Paper Model 256"/>
        <s v="Pen Model 832"/>
        <s v="Printer Model 134"/>
        <s v="Desk Model 736"/>
        <s v="Chair Model 436"/>
        <s v="Paper Model 141"/>
        <s v="Table Model 319"/>
        <s v="Pen Model 131"/>
        <s v="Phone Model 709"/>
        <s v="Pen Model 708"/>
        <s v="Phone Model 138"/>
        <s v="Printer Model 632"/>
        <s v="Printer Model 874"/>
        <s v="Headphones Model 270"/>
        <s v="Paper Model 191"/>
        <s v="Headphones Model 575"/>
        <s v="Phone Model 838"/>
        <s v="Laptop Model 392"/>
        <s v="Desk Model 366"/>
        <s v="Laptop Model 286"/>
        <s v="Printer Model 141"/>
        <s v="Laptop Model 965"/>
        <s v="Paper Model 538"/>
        <s v="Printer Model 398"/>
        <s v="Phone Model 994"/>
        <s v="Paper Model 814"/>
        <s v="Paper Model 478"/>
        <s v="Phone Model 605"/>
        <s v="Laptop Model 528"/>
        <s v="Chair Model 468"/>
        <s v="Printer Model 838"/>
        <s v="Chair Model 762"/>
        <s v="Table Model 164"/>
        <s v="Headphones Model 739"/>
        <s v="Table Model 371"/>
        <s v="Chair Model 788"/>
        <s v="Headphones Model 291"/>
        <s v="Chair Model 990"/>
        <s v="Pen Model 602"/>
        <s v="Pen Model 692"/>
        <s v="Chair Model 143"/>
        <s v="Table Model 289"/>
        <s v="Desk Model 970"/>
        <s v="Headphones Model 162"/>
        <s v="Desk Model 184"/>
        <s v="Paper Model 515"/>
        <s v="Chair Model 579"/>
        <s v="Headphones Model 164"/>
        <s v="Desk Model 826"/>
        <s v="Pen Model 890"/>
        <s v="Pen Model 778"/>
        <s v="Headphones Model 704"/>
        <s v="Pen Model 519"/>
        <s v="Printer Model 792"/>
        <s v="Table Model 621"/>
        <s v="Table Model 683"/>
        <s v="Printer Model 768"/>
        <s v="Table Model 777"/>
        <s v="Chair Model 771"/>
        <s v="Headphones Model 598"/>
        <s v="Printer Model 435"/>
        <s v="Desk Model 303"/>
        <s v="Desk Model 580"/>
        <s v="Printer Model 233"/>
        <s v="Laptop Model 892"/>
        <s v="Printer Model 769"/>
        <s v="Desk Model 113"/>
        <s v="Phone Model 745"/>
        <s v="Headphones Model 631"/>
        <s v="Headphones Model 858"/>
        <s v="Desk Model 311"/>
        <s v="Headphones Model 797"/>
        <s v="Chair Model 865"/>
        <s v="Printer Model 112"/>
        <s v="Table Model 915"/>
        <s v="Paper Model 564"/>
        <s v="Paper Model 399"/>
        <s v="Table Model 969"/>
        <s v="Table Model 304"/>
        <s v="Printer Model 267"/>
        <s v="Table Model 938"/>
        <s v="Phone Model 389"/>
        <s v="Desk Model 455"/>
        <s v="Printer Model 384"/>
        <s v="Paper Model 287"/>
        <s v="Printer Model 696"/>
        <s v="Table Model 794"/>
        <s v="Table Model 925"/>
        <s v="Pen Model 743"/>
        <s v="Printer Model 261"/>
        <s v="Pen Model 507"/>
        <s v="Pen Model 264"/>
        <s v="Desk Model 907"/>
        <s v="Table Model 685"/>
        <s v="Printer Model 766"/>
        <s v="Laptop Model 596"/>
        <s v="Laptop Model 104"/>
        <s v="Pen Model 886"/>
        <s v="Paper Model 656"/>
        <s v="Headphones Model 402"/>
        <s v="Pen Model 163"/>
        <s v="Paper Model 772"/>
        <s v="Table Model 666"/>
        <s v="Paper Model 535"/>
        <s v="Desk Model 173"/>
        <s v="Pen Model 559"/>
        <s v="Pen Model 718"/>
        <s v="Phone Model 421"/>
        <s v="Phone Model 687"/>
        <s v="Desk Model 834"/>
        <s v="Paper Model 640"/>
        <s v="Printer Model 216"/>
        <s v="Phone Model 754"/>
        <s v="Desk Model 509"/>
        <s v="Laptop Model 336"/>
        <s v="Paper Model 815"/>
        <s v="Pen Model 349"/>
        <s v="Headphones Model 439"/>
      </sharedItems>
    </cacheField>
    <cacheField name="Sales person" numFmtId="0">
      <sharedItems count="6">
        <s v="Amit"/>
        <s v="Neha"/>
        <s v="Rahul"/>
        <s v="Karan"/>
        <s v="Sneha"/>
        <s v="Priya"/>
      </sharedItems>
    </cacheField>
    <cacheField name="quantity " numFmtId="0">
      <sharedItems containsSemiMixedTypes="0" containsString="0" containsNumber="1" containsInteger="1" minValue="1" maxValue="20" count="20">
        <n v="12"/>
        <n v="1"/>
        <n v="15"/>
        <n v="3"/>
        <n v="7"/>
        <n v="4"/>
        <n v="16"/>
        <n v="9"/>
        <n v="11"/>
        <n v="10"/>
        <n v="2"/>
        <n v="14"/>
        <n v="5"/>
        <n v="17"/>
        <n v="19"/>
        <n v="6"/>
        <n v="20"/>
        <n v="13"/>
        <n v="18"/>
        <n v="8"/>
      </sharedItems>
    </cacheField>
    <cacheField name="price " numFmtId="0">
      <sharedItems containsSemiMixedTypes="0" containsString="0" containsNumber="1" minValue="20.64" maxValue="1494.72"/>
    </cacheField>
    <cacheField name="Revenue" numFmtId="0">
      <sharedItems containsSemiMixedTypes="0" containsString="0" containsNumber="1" minValue="99.87" maxValue="29327" count="299">
        <n v="5987.64"/>
        <n v="695.68"/>
        <n v="325.02999999999997"/>
        <n v="3275.1"/>
        <n v="7320"/>
        <n v="99.87"/>
        <n v="18054.599999999999"/>
        <n v="5473.02"/>
        <n v="2469.52"/>
        <n v="23408"/>
        <n v="5226.4799999999996"/>
        <n v="12934.02"/>
        <n v="7056.9"/>
        <n v="2732.8"/>
        <n v="14503.16"/>
        <n v="11875.16"/>
        <n v="8027.85"/>
        <n v="3007.32"/>
        <n v="3958.3"/>
        <n v="10758.55"/>
        <n v="2666.36"/>
        <n v="12771.08"/>
        <n v="9453.7000000000007"/>
        <n v="11782.88"/>
        <n v="4383.96"/>
        <n v="4896.45"/>
        <n v="2106.9"/>
        <n v="16724.939999999999"/>
        <n v="952.08"/>
        <n v="1330.6"/>
        <n v="19547.96"/>
        <n v="10223.219999999999"/>
        <n v="188.94"/>
        <n v="920.13"/>
        <n v="3963.2"/>
        <n v="4732.4399999999996"/>
        <n v="10213.84"/>
        <n v="10194.299999999999"/>
        <n v="2565.1"/>
        <n v="8339.9"/>
        <n v="23905.42"/>
        <n v="23795.360000000001"/>
        <n v="5845.4"/>
        <n v="987.66"/>
        <n v="392.16"/>
        <n v="13944.93"/>
        <n v="4810.3999999999996"/>
        <n v="10323.6"/>
        <n v="332.1"/>
        <n v="11652.89"/>
        <n v="758.16"/>
        <n v="14573.42"/>
        <n v="5262.27"/>
        <n v="10240.799999999999"/>
        <n v="2108.4"/>
        <n v="12057.4"/>
        <n v="28260.98"/>
        <n v="256.68"/>
        <n v="18596.82"/>
        <n v="20866.650000000001"/>
        <n v="5795.9"/>
        <n v="3572.4"/>
        <n v="17096.64"/>
        <n v="19623.150000000001"/>
        <n v="5311.8"/>
        <n v="22176.18"/>
        <n v="11721.4"/>
        <n v="12366.24"/>
        <n v="5091.6400000000003"/>
        <n v="15304.35"/>
        <n v="6889.05"/>
        <n v="18346.91"/>
        <n v="873.39"/>
        <n v="5124.99"/>
        <n v="8928.4"/>
        <n v="4795.92"/>
        <n v="4775.92"/>
        <n v="2118.1999999999998"/>
        <n v="6974.4"/>
        <n v="996.85"/>
        <n v="5186.4399999999996"/>
        <n v="2419.96"/>
        <n v="568.62"/>
        <n v="1124.92"/>
        <n v="5106.78"/>
        <n v="12827.3"/>
        <n v="14482.98"/>
        <n v="1494.72"/>
        <n v="19365.75"/>
        <n v="6296.4"/>
        <n v="18251.400000000001"/>
        <n v="5708.79"/>
        <n v="25297.360000000001"/>
        <n v="16295.16"/>
        <n v="3974.4"/>
        <n v="14422.08"/>
        <n v="10775.52"/>
        <n v="4447.3500000000004"/>
        <n v="440.7"/>
        <n v="2921.12"/>
        <n v="5218"/>
        <n v="1863.2"/>
        <n v="4174.6899999999996"/>
        <n v="131.82"/>
        <n v="12876.2"/>
        <n v="1415.88"/>
        <n v="18091.45"/>
        <n v="3672.8"/>
        <n v="1101.94"/>
        <n v="7686.72"/>
        <n v="1354.19"/>
        <n v="29327"/>
        <n v="2937.72"/>
        <n v="13560.48"/>
        <n v="7736.19"/>
        <n v="1092.5899999999999"/>
        <n v="11644.49"/>
        <n v="1336.6"/>
        <n v="4993.1000000000004"/>
        <n v="1309.58"/>
        <n v="6744.48"/>
        <n v="418.22"/>
        <n v="4111.25"/>
        <n v="9080"/>
        <n v="17809.259999999998"/>
        <n v="1368.96"/>
        <n v="2759.62"/>
        <n v="1853.22"/>
        <n v="7252.96"/>
        <n v="8173.2"/>
        <n v="10874.64"/>
        <n v="13347.6"/>
        <n v="17728.8"/>
        <n v="425.66"/>
        <n v="5874.75"/>
        <n v="6190.35"/>
        <n v="2109.34"/>
        <n v="8918.5499999999993"/>
        <n v="4723.5200000000004"/>
        <n v="1328.14"/>
        <n v="6955.2"/>
        <n v="3091.12"/>
        <n v="22902.03"/>
        <n v="14377.3"/>
        <n v="5621.84"/>
        <n v="7880.32"/>
        <n v="1071.8399999999999"/>
        <n v="1420.4"/>
        <n v="854.26"/>
        <n v="10533.16"/>
        <n v="1840.5"/>
        <n v="8019"/>
        <n v="4516.3999999999996"/>
        <n v="4786.5"/>
        <n v="1847.65"/>
        <n v="1770.3"/>
        <n v="8015.54"/>
        <n v="663.2"/>
        <n v="5559.92"/>
        <n v="17609.77"/>
        <n v="7391"/>
        <n v="2118.35"/>
        <n v="7429.1"/>
        <n v="4934.72"/>
        <n v="1801.83"/>
        <n v="10568.76"/>
        <n v="13207.6"/>
        <n v="14429.6"/>
        <n v="6117.39"/>
        <n v="1875.06"/>
        <n v="2560.58"/>
        <n v="12885.75"/>
        <n v="5794.38"/>
        <n v="11252.64"/>
        <n v="1205.68"/>
        <n v="3777.3"/>
        <n v="5327.56"/>
        <n v="24689.360000000001"/>
        <n v="4966.75"/>
        <n v="2080.44"/>
        <n v="913.98"/>
        <n v="9928.1"/>
        <n v="5376.8"/>
        <n v="9940.7999999999993"/>
        <n v="15627.48"/>
        <n v="1935.29"/>
        <n v="8662.86"/>
        <n v="7410.8"/>
        <n v="14205.92"/>
        <n v="4426.74"/>
        <n v="454.86"/>
        <n v="2056.4"/>
        <n v="24946.48"/>
        <n v="2351.16"/>
        <n v="5834.05"/>
        <n v="700.15"/>
        <n v="16484.78"/>
        <n v="8089.56"/>
        <n v="2854.56"/>
        <n v="19106.97"/>
        <n v="1465.24"/>
        <n v="9054.7999999999993"/>
        <n v="25254.720000000001"/>
        <n v="6057.44"/>
        <n v="24391.77"/>
        <n v="2557.88"/>
        <n v="13084.12"/>
        <n v="702.88"/>
        <n v="15624.46"/>
        <n v="2703"/>
        <n v="6550.7"/>
        <n v="20791.2"/>
        <n v="6463.08"/>
        <n v="22329.45"/>
        <n v="9376.1200000000008"/>
        <n v="5852.21"/>
        <n v="22275.599999999999"/>
        <n v="1830"/>
        <n v="4614.87"/>
        <n v="110.9"/>
        <n v="10265.89"/>
        <n v="1768.2"/>
        <n v="371.23"/>
        <n v="15293.2"/>
        <n v="1491.84"/>
        <n v="1296.02"/>
        <n v="9843.35"/>
        <n v="6532.65"/>
        <n v="3739.92"/>
        <n v="19831.52"/>
        <n v="4711.5"/>
        <n v="21508.400000000001"/>
        <n v="1906"/>
        <n v="958.37"/>
        <n v="10196.64"/>
        <n v="1989"/>
        <n v="2000.39"/>
        <n v="9979.1200000000008"/>
        <n v="725.52"/>
        <n v="10118.879999999999"/>
        <n v="7016.75"/>
        <n v="7086.15"/>
        <n v="196.14"/>
        <n v="8478.42"/>
        <n v="7404.35"/>
        <n v="16040.75"/>
        <n v="1620.5"/>
        <n v="8139.8"/>
        <n v="11430.64"/>
        <n v="4885.25"/>
        <n v="894.12"/>
        <n v="2609.08"/>
        <n v="1059.6300000000001"/>
        <n v="19608.38"/>
        <n v="8148.64"/>
        <n v="17779.580000000002"/>
        <n v="17261.64"/>
        <n v="4858.3500000000004"/>
        <n v="3193.4"/>
        <n v="3194.18"/>
        <n v="765.32"/>
        <n v="1277.1199999999999"/>
        <n v="18831.84"/>
        <n v="11730.15"/>
        <n v="12709.17"/>
        <n v="4274.88"/>
        <n v="5908.76"/>
        <n v="8733.4500000000007"/>
        <n v="3915.18"/>
        <n v="18035.810000000001"/>
        <n v="10433.040000000001"/>
        <n v="4778.4399999999996"/>
        <n v="2930.64"/>
        <n v="1183.47"/>
        <n v="3705.24"/>
        <n v="354.14"/>
        <n v="16795.98"/>
        <n v="10031.4"/>
        <n v="748.54"/>
        <n v="9725.6"/>
        <n v="19682.560000000001"/>
        <n v="6820.2"/>
        <n v="24981.77"/>
        <n v="7991.62"/>
        <n v="23185.08"/>
        <n v="11690.56"/>
        <n v="6185.15"/>
        <n v="15221.64"/>
        <n v="3380.5"/>
        <n v="136.56"/>
        <n v="13851.3"/>
        <n v="2679.1"/>
        <n v="15798.4"/>
        <n v="22596.799999999999"/>
        <n v="7444.92"/>
        <n v="14811.1"/>
        <n v="757.47"/>
        <n v="12424.06"/>
        <n v="5087.12"/>
      </sharedItems>
    </cacheField>
    <cacheField name="Cost" numFmtId="0">
      <sharedItems containsSemiMixedTypes="0" containsString="0" containsNumber="1" minValue="69.930000000000007" maxValue="24878.3"/>
    </cacheField>
    <cacheField name="Profit" numFmtId="0">
      <sharedItems containsSemiMixedTypes="0" containsString="0" containsNumber="1" minValue="25.41" maxValue="12488.73"/>
    </cacheField>
    <cacheField name="CustomerType" numFmtId="0">
      <sharedItems count="3">
        <s v="Retail"/>
        <s v="Online"/>
        <s v="Corporate"/>
      </sharedItems>
    </cacheField>
    <cacheField name="Payment" numFmtId="0">
      <sharedItems count="4">
        <s v="UPI"/>
        <s v="Cash"/>
        <s v="Net Banking"/>
        <s v="Card"/>
      </sharedItems>
    </cacheField>
    <cacheField name="Days (Date)" numFmtId="0" databaseField="0">
      <fieldGroup base="1">
        <rangePr groupBy="days" startDate="2025-01-07T00:00:00" endDate="2026-01-01T00:00:00"/>
        <groupItems count="368">
          <s v="&lt;07-01-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6"/>
        </groupItems>
      </fieldGroup>
    </cacheField>
    <cacheField name="Months (Date)" numFmtId="0" databaseField="0">
      <fieldGroup base="1">
        <rangePr groupBy="months" startDate="2025-01-07T00:00:00" endDate="2026-01-01T00:00:00"/>
        <groupItems count="14">
          <s v="&lt;07-01-2025"/>
          <s v="Jan"/>
          <s v="Feb"/>
          <s v="Mar"/>
          <s v="Apr"/>
          <s v="May"/>
          <s v="Jun"/>
          <s v="Jul"/>
          <s v="Aug"/>
          <s v="Sep"/>
          <s v="Oct"/>
          <s v="Nov"/>
          <s v="Dec"/>
          <s v="&gt;01-01-2026"/>
        </groupItems>
      </fieldGroup>
    </cacheField>
  </cacheFields>
  <extLst>
    <ext xmlns:x14="http://schemas.microsoft.com/office/spreadsheetml/2009/9/main" uri="{725AE2AE-9491-48be-B2B4-4EB974FC3084}">
      <x14:pivotCacheDefinition pivotCacheId="61418335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28.672500000001" backgroundQuery="1" createdVersion="8" refreshedVersion="8" minRefreshableVersion="3" recordCount="0" supportSubquery="1" supportAdvancedDrill="1" xr:uid="{419940B8-5B62-431E-ACD4-4169E94AD372}">
  <cacheSource type="external" connectionId="1"/>
  <cacheFields count="2">
    <cacheField name="[Measures].[Count of CustomerType]" caption="Count of CustomerType" numFmtId="0" hierarchy="25" level="32767"/>
    <cacheField name="[Range].[Payment].[Payment]" caption="Payment" numFmtId="0" hierarchy="13" level="1">
      <sharedItems count="4">
        <s v="Card"/>
        <s v="Cash"/>
        <s v="Net Banking"/>
        <s v="UPI"/>
      </sharedItems>
    </cacheField>
  </cacheFields>
  <cacheHierarchies count="28">
    <cacheHierarchy uniqueName="[Range].[OrderID]" caption="OrderID" attribute="1" defaultMemberUniqueName="[Range].[OrderID].[All]" allUniqueName="[Range].[OrderID].[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gion]" caption="Region" attribute="1" defaultMemberUniqueName="[Range].[Region].[All]" allUniqueName="[Range].[Region].[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Sub Category]" caption="Sub Category" attribute="1" defaultMemberUniqueName="[Range].[Sub Category].[All]" allUniqueName="[Range].[Sub Category].[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Sales person]" caption="Sales person" attribute="1" defaultMemberUniqueName="[Range].[Sales person].[All]" allUniqueName="[Range].[Sales person].[All]" dimensionUniqueName="[Range]" displayFolder="" count="2" memberValueDatatype="130" unbalanced="0"/>
    <cacheHierarchy uniqueName="[Range].[quantity]" caption="quantity" attribute="1" defaultMemberUniqueName="[Range].[quantity].[All]" allUniqueName="[Range].[quantity].[All]" dimensionUniqueName="[Range]" displayFolder="" count="0" memberValueDatatype="20" unbalanced="0"/>
    <cacheHierarchy uniqueName="[Range].[price]" caption="price" attribute="1" defaultMemberUniqueName="[Range].[price].[All]" allUniqueName="[Range].[price].[All]" dimensionUniqueName="[Range]" displayFolder="" count="0" memberValueDatatype="5" unbalanced="0"/>
    <cacheHierarchy uniqueName="[Range].[Revenue]" caption="Revenue" attribute="1" defaultMemberUniqueName="[Range].[Revenue].[All]" allUniqueName="[Range].[Revenue].[All]" dimensionUniqueName="[Range]" displayFolder="" count="0" memberValueDatatype="5" unbalanced="0"/>
    <cacheHierarchy uniqueName="[Range].[Cost]" caption="Cost" attribute="1" defaultMemberUniqueName="[Range].[Cost].[All]" allUniqueName="[Range].[Cost].[All]" dimensionUniqueName="[Range]" displayFolder="" count="0" memberValueDatatype="5" unbalanced="0"/>
    <cacheHierarchy uniqueName="[Range].[Profit]" caption="Profit" attribute="1" defaultMemberUniqueName="[Range].[Profit].[All]" allUniqueName="[Range].[Profit].[All]" dimensionUniqueName="[Range]" displayFolder="" count="0" memberValueDatatype="5" unbalanced="0"/>
    <cacheHierarchy uniqueName="[Range].[CustomerType]" caption="CustomerType" attribute="1" defaultMemberUniqueName="[Range].[CustomerType].[All]" allUniqueName="[Range].[CustomerType].[All]" dimensionUniqueName="[Range]" displayFolder="" count="0" memberValueDatatype="130" unbalanced="0"/>
    <cacheHierarchy uniqueName="[Range].[Payment]" caption="Payment" attribute="1" defaultMemberUniqueName="[Range].[Payment].[All]" allUniqueName="[Range].[Payment].[All]" dimensionUniqueName="[Range]" displayFolder="" count="2" memberValueDatatype="130" unbalanced="0">
      <fieldsUsage count="2">
        <fieldUsage x="-1"/>
        <fieldUsage x="1"/>
      </fieldsUsage>
    </cacheHierarchy>
    <cacheHierarchy uniqueName="[Range].[Date (Month)]" caption="Date (Month)" attribute="1" defaultMemberUniqueName="[Range].[Date (Month)].[All]" allUniqueName="[Range].[Date (Month)].[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OrderID]" caption="Sum of OrderID" measure="1" displayFolder="" measureGroup="Range" count="0" hidden="1">
      <extLst>
        <ext xmlns:x15="http://schemas.microsoft.com/office/spreadsheetml/2010/11/main" uri="{B97F6D7D-B522-45F9-BDA1-12C45D357490}">
          <x15:cacheHierarchy aggregatedColumn="0"/>
        </ext>
      </extLst>
    </cacheHierarchy>
    <cacheHierarchy uniqueName="[Measures].[Sum of quantity]" caption="Sum of quantity" measure="1" displayFolder="" measureGroup="Range" count="0" hidden="1">
      <extLst>
        <ext xmlns:x15="http://schemas.microsoft.com/office/spreadsheetml/2010/11/main" uri="{B97F6D7D-B522-45F9-BDA1-12C45D357490}">
          <x15:cacheHierarchy aggregatedColumn="7"/>
        </ext>
      </extLst>
    </cacheHierarchy>
    <cacheHierarchy uniqueName="[Measures].[Sum of price]" caption="Sum of price" measure="1" displayFolder="" measureGroup="Range" count="0" hidden="1">
      <extLst>
        <ext xmlns:x15="http://schemas.microsoft.com/office/spreadsheetml/2010/11/main" uri="{B97F6D7D-B522-45F9-BDA1-12C45D357490}">
          <x15:cacheHierarchy aggregatedColumn="8"/>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9"/>
        </ext>
      </extLst>
    </cacheHierarchy>
    <cacheHierarchy uniqueName="[Measures].[Count of Region]" caption="Count of Region" measure="1" displayFolder="" measureGroup="Range" count="0" hidden="1">
      <extLst>
        <ext xmlns:x15="http://schemas.microsoft.com/office/spreadsheetml/2010/11/main" uri="{B97F6D7D-B522-45F9-BDA1-12C45D357490}">
          <x15:cacheHierarchy aggregatedColumn="2"/>
        </ext>
      </extLst>
    </cacheHierarchy>
    <cacheHierarchy uniqueName="[Measures].[Count of Payment]" caption="Count of Payment" measure="1" displayFolder="" measureGroup="Range" count="0" hidden="1">
      <extLst>
        <ext xmlns:x15="http://schemas.microsoft.com/office/spreadsheetml/2010/11/main" uri="{B97F6D7D-B522-45F9-BDA1-12C45D357490}">
          <x15:cacheHierarchy aggregatedColumn="13"/>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10"/>
        </ext>
      </extLst>
    </cacheHierarchy>
    <cacheHierarchy uniqueName="[Measures].[Count of CustomerType]" caption="Count of CustomerType" measure="1" displayFolder="" measureGroup="Range"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Sales person]" caption="Count of Sales person" measure="1" displayFolder="" measureGroup="Range" count="0" hidden="1">
      <extLst>
        <ext xmlns:x15="http://schemas.microsoft.com/office/spreadsheetml/2010/11/main" uri="{B97F6D7D-B522-45F9-BDA1-12C45D357490}">
          <x15:cacheHierarchy aggregatedColumn="6"/>
        </ext>
      </extLst>
    </cacheHierarchy>
    <cacheHierarchy uniqueName="[Measures].[Count of Product]" caption="Count of Product" measure="1" displayFolder="" measureGroup="Range"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27.949263657407" backgroundQuery="1" createdVersion="3" refreshedVersion="8" minRefreshableVersion="3" recordCount="0" supportSubquery="1" supportAdvancedDrill="1" xr:uid="{35CC8D75-28CA-4AEB-82A1-FFC3FA43B53C}">
  <cacheSource type="external" connectionId="1">
    <extLst>
      <ext xmlns:x14="http://schemas.microsoft.com/office/spreadsheetml/2009/9/main" uri="{F057638F-6D5F-4e77-A914-E7F072B9BCA8}">
        <x14:sourceConnection name="ThisWorkbookDataModel"/>
      </ext>
    </extLst>
  </cacheSource>
  <cacheFields count="0"/>
  <cacheHierarchies count="26">
    <cacheHierarchy uniqueName="[Range].[OrderID]" caption="OrderID" attribute="1" defaultMemberUniqueName="[Range].[OrderID].[All]" allUniqueName="[Range].[OrderID].[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gion]" caption="Region" attribute="1" defaultMemberUniqueName="[Range].[Region].[All]" allUniqueName="[Range].[Region].[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Sub Category]" caption="Sub Category" attribute="1" defaultMemberUniqueName="[Range].[Sub Category].[All]" allUniqueName="[Range].[Sub Category].[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Sales person]" caption="Sales person" attribute="1" defaultMemberUniqueName="[Range].[Sales person].[All]" allUniqueName="[Range].[Sales person].[All]" dimensionUniqueName="[Range]" displayFolder="" count="0" memberValueDatatype="130" unbalanced="0"/>
    <cacheHierarchy uniqueName="[Range].[quantity]" caption="quantity" attribute="1" defaultMemberUniqueName="[Range].[quantity].[All]" allUniqueName="[Range].[quantity].[All]" dimensionUniqueName="[Range]" displayFolder="" count="0" memberValueDatatype="20" unbalanced="0"/>
    <cacheHierarchy uniqueName="[Range].[price]" caption="price" attribute="1" defaultMemberUniqueName="[Range].[price].[All]" allUniqueName="[Range].[price].[All]" dimensionUniqueName="[Range]" displayFolder="" count="0" memberValueDatatype="5" unbalanced="0"/>
    <cacheHierarchy uniqueName="[Range].[Revenue]" caption="Revenue" attribute="1" defaultMemberUniqueName="[Range].[Revenue].[All]" allUniqueName="[Range].[Revenue].[All]" dimensionUniqueName="[Range]" displayFolder="" count="0" memberValueDatatype="5" unbalanced="0"/>
    <cacheHierarchy uniqueName="[Range].[Cost]" caption="Cost" attribute="1" defaultMemberUniqueName="[Range].[Cost].[All]" allUniqueName="[Range].[Cost].[All]" dimensionUniqueName="[Range]" displayFolder="" count="0" memberValueDatatype="5" unbalanced="0"/>
    <cacheHierarchy uniqueName="[Range].[Profit]" caption="Profit" attribute="1" defaultMemberUniqueName="[Range].[Profit].[All]" allUniqueName="[Range].[Profit].[All]" dimensionUniqueName="[Range]" displayFolder="" count="0" memberValueDatatype="5" unbalanced="0"/>
    <cacheHierarchy uniqueName="[Range].[CustomerType]" caption="CustomerType" attribute="1" defaultMemberUniqueName="[Range].[CustomerType].[All]" allUniqueName="[Range].[CustomerType].[All]" dimensionUniqueName="[Range]" displayFolder="" count="0" memberValueDatatype="130" unbalanced="0"/>
    <cacheHierarchy uniqueName="[Range].[Payment]" caption="Payment" attribute="1" defaultMemberUniqueName="[Range].[Payment].[All]" allUniqueName="[Range].[Payment].[All]" dimensionUniqueName="[Range]" displayFolder="" count="2" memberValueDatatype="130" unbalanced="0"/>
    <cacheHierarchy uniqueName="[Range].[Date (Month)]" caption="Date (Month)" attribute="1" defaultMemberUniqueName="[Range].[Date (Month)].[All]" allUniqueName="[Range].[Date (Month)].[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OrderID]" caption="Sum of OrderID" measure="1" displayFolder="" measureGroup="Range" count="0" hidden="1">
      <extLst>
        <ext xmlns:x15="http://schemas.microsoft.com/office/spreadsheetml/2010/11/main" uri="{B97F6D7D-B522-45F9-BDA1-12C45D357490}">
          <x15:cacheHierarchy aggregatedColumn="0"/>
        </ext>
      </extLst>
    </cacheHierarchy>
    <cacheHierarchy uniqueName="[Measures].[Sum of quantity]" caption="Sum of quantity" measure="1" displayFolder="" measureGroup="Range" count="0" hidden="1">
      <extLst>
        <ext xmlns:x15="http://schemas.microsoft.com/office/spreadsheetml/2010/11/main" uri="{B97F6D7D-B522-45F9-BDA1-12C45D357490}">
          <x15:cacheHierarchy aggregatedColumn="7"/>
        </ext>
      </extLst>
    </cacheHierarchy>
    <cacheHierarchy uniqueName="[Measures].[Sum of price]" caption="Sum of price" measure="1" displayFolder="" measureGroup="Range" count="0" hidden="1">
      <extLst>
        <ext xmlns:x15="http://schemas.microsoft.com/office/spreadsheetml/2010/11/main" uri="{B97F6D7D-B522-45F9-BDA1-12C45D357490}">
          <x15:cacheHierarchy aggregatedColumn="8"/>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9"/>
        </ext>
      </extLst>
    </cacheHierarchy>
    <cacheHierarchy uniqueName="[Measures].[Count of Region]" caption="Count of Region" measure="1" displayFolder="" measureGroup="Range" count="0" hidden="1">
      <extLst>
        <ext xmlns:x15="http://schemas.microsoft.com/office/spreadsheetml/2010/11/main" uri="{B97F6D7D-B522-45F9-BDA1-12C45D357490}">
          <x15:cacheHierarchy aggregatedColumn="2"/>
        </ext>
      </extLst>
    </cacheHierarchy>
    <cacheHierarchy uniqueName="[Measures].[Count of Payment]" caption="Count of Payment" measure="1" displayFolder="" measureGroup="Range" count="0" hidden="1">
      <extLst>
        <ext xmlns:x15="http://schemas.microsoft.com/office/spreadsheetml/2010/11/main" uri="{B97F6D7D-B522-45F9-BDA1-12C45D357490}">
          <x15:cacheHierarchy aggregatedColumn="13"/>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10"/>
        </ext>
      </extLst>
    </cacheHierarchy>
    <cacheHierarchy uniqueName="[Measures].[Count of CustomerType]" caption="Count of CustomerType" measure="1" displayFolder="" measureGroup="Range"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1300200335"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9">
  <r>
    <x v="0"/>
    <x v="0"/>
    <x v="0"/>
    <x v="0"/>
    <x v="0"/>
    <x v="0"/>
    <x v="0"/>
    <x v="0"/>
    <n v="498.97"/>
    <x v="0"/>
    <n v="4049.87"/>
    <n v="1937.77"/>
    <x v="0"/>
    <x v="0"/>
  </r>
  <r>
    <x v="1"/>
    <x v="1"/>
    <x v="1"/>
    <x v="1"/>
    <x v="1"/>
    <x v="1"/>
    <x v="1"/>
    <x v="1"/>
    <n v="695.68"/>
    <x v="1"/>
    <n v="559.46"/>
    <n v="136.22"/>
    <x v="1"/>
    <x v="0"/>
  </r>
  <r>
    <x v="2"/>
    <x v="2"/>
    <x v="2"/>
    <x v="1"/>
    <x v="1"/>
    <x v="2"/>
    <x v="2"/>
    <x v="1"/>
    <n v="325.02999999999997"/>
    <x v="2"/>
    <n v="291.36"/>
    <n v="33.67"/>
    <x v="0"/>
    <x v="1"/>
  </r>
  <r>
    <x v="3"/>
    <x v="3"/>
    <x v="1"/>
    <x v="1"/>
    <x v="1"/>
    <x v="3"/>
    <x v="0"/>
    <x v="2"/>
    <n v="218.34"/>
    <x v="3"/>
    <n v="2900.35"/>
    <n v="374.75"/>
    <x v="2"/>
    <x v="1"/>
  </r>
  <r>
    <x v="4"/>
    <x v="4"/>
    <x v="2"/>
    <x v="1"/>
    <x v="2"/>
    <x v="4"/>
    <x v="3"/>
    <x v="0"/>
    <n v="610"/>
    <x v="4"/>
    <n v="5746.52"/>
    <n v="1573.48"/>
    <x v="0"/>
    <x v="1"/>
  </r>
  <r>
    <x v="5"/>
    <x v="5"/>
    <x v="0"/>
    <x v="2"/>
    <x v="3"/>
    <x v="5"/>
    <x v="2"/>
    <x v="3"/>
    <n v="33.29"/>
    <x v="5"/>
    <n v="69.930000000000007"/>
    <n v="29.94"/>
    <x v="0"/>
    <x v="0"/>
  </r>
  <r>
    <x v="6"/>
    <x v="6"/>
    <x v="1"/>
    <x v="1"/>
    <x v="4"/>
    <x v="6"/>
    <x v="4"/>
    <x v="2"/>
    <n v="1203.6400000000001"/>
    <x v="6"/>
    <n v="12505.04"/>
    <n v="5549.56"/>
    <x v="0"/>
    <x v="1"/>
  </r>
  <r>
    <x v="7"/>
    <x v="7"/>
    <x v="1"/>
    <x v="0"/>
    <x v="5"/>
    <x v="7"/>
    <x v="1"/>
    <x v="4"/>
    <n v="781.86"/>
    <x v="7"/>
    <n v="2968.89"/>
    <n v="2504.13"/>
    <x v="0"/>
    <x v="2"/>
  </r>
  <r>
    <x v="8"/>
    <x v="8"/>
    <x v="3"/>
    <x v="0"/>
    <x v="5"/>
    <x v="8"/>
    <x v="3"/>
    <x v="5"/>
    <n v="617.38"/>
    <x v="8"/>
    <n v="1524.55"/>
    <n v="944.97"/>
    <x v="1"/>
    <x v="1"/>
  </r>
  <r>
    <x v="9"/>
    <x v="9"/>
    <x v="2"/>
    <x v="2"/>
    <x v="3"/>
    <x v="9"/>
    <x v="1"/>
    <x v="6"/>
    <n v="1463"/>
    <x v="9"/>
    <n v="17194.39"/>
    <n v="6213.61"/>
    <x v="2"/>
    <x v="2"/>
  </r>
  <r>
    <x v="10"/>
    <x v="10"/>
    <x v="1"/>
    <x v="1"/>
    <x v="4"/>
    <x v="10"/>
    <x v="4"/>
    <x v="7"/>
    <n v="580.72"/>
    <x v="10"/>
    <n v="4492.8599999999997"/>
    <n v="733.62"/>
    <x v="0"/>
    <x v="2"/>
  </r>
  <r>
    <x v="11"/>
    <x v="11"/>
    <x v="2"/>
    <x v="0"/>
    <x v="5"/>
    <x v="11"/>
    <x v="4"/>
    <x v="8"/>
    <n v="1175.82"/>
    <x v="11"/>
    <n v="9001.35"/>
    <n v="3932.67"/>
    <x v="2"/>
    <x v="3"/>
  </r>
  <r>
    <x v="12"/>
    <x v="12"/>
    <x v="3"/>
    <x v="0"/>
    <x v="0"/>
    <x v="12"/>
    <x v="4"/>
    <x v="9"/>
    <n v="705.69"/>
    <x v="12"/>
    <n v="5788.21"/>
    <n v="1268.69"/>
    <x v="1"/>
    <x v="1"/>
  </r>
  <r>
    <x v="13"/>
    <x v="13"/>
    <x v="2"/>
    <x v="0"/>
    <x v="5"/>
    <x v="13"/>
    <x v="1"/>
    <x v="10"/>
    <n v="1366.4"/>
    <x v="13"/>
    <n v="2195.5700000000002"/>
    <n v="537.23"/>
    <x v="1"/>
    <x v="0"/>
  </r>
  <r>
    <x v="14"/>
    <x v="14"/>
    <x v="0"/>
    <x v="2"/>
    <x v="6"/>
    <x v="14"/>
    <x v="5"/>
    <x v="11"/>
    <n v="1035.94"/>
    <x v="14"/>
    <n v="8750.4599999999991"/>
    <n v="5752.7"/>
    <x v="2"/>
    <x v="0"/>
  </r>
  <r>
    <x v="15"/>
    <x v="15"/>
    <x v="2"/>
    <x v="0"/>
    <x v="7"/>
    <x v="15"/>
    <x v="4"/>
    <x v="8"/>
    <n v="1079.56"/>
    <x v="15"/>
    <n v="8691.44"/>
    <n v="3183.72"/>
    <x v="0"/>
    <x v="0"/>
  </r>
  <r>
    <x v="16"/>
    <x v="16"/>
    <x v="1"/>
    <x v="0"/>
    <x v="0"/>
    <x v="16"/>
    <x v="5"/>
    <x v="2"/>
    <n v="535.19000000000005"/>
    <x v="16"/>
    <n v="4535.5200000000004"/>
    <n v="3492.33"/>
    <x v="0"/>
    <x v="3"/>
  </r>
  <r>
    <x v="17"/>
    <x v="17"/>
    <x v="1"/>
    <x v="0"/>
    <x v="7"/>
    <x v="17"/>
    <x v="1"/>
    <x v="3"/>
    <n v="1002.44"/>
    <x v="17"/>
    <n v="2207.77"/>
    <n v="799.55"/>
    <x v="0"/>
    <x v="3"/>
  </r>
  <r>
    <x v="18"/>
    <x v="18"/>
    <x v="0"/>
    <x v="1"/>
    <x v="4"/>
    <x v="18"/>
    <x v="5"/>
    <x v="12"/>
    <n v="791.66"/>
    <x v="18"/>
    <n v="2837.34"/>
    <n v="1120.96"/>
    <x v="0"/>
    <x v="3"/>
  </r>
  <r>
    <x v="19"/>
    <x v="5"/>
    <x v="2"/>
    <x v="1"/>
    <x v="4"/>
    <x v="19"/>
    <x v="0"/>
    <x v="8"/>
    <n v="978.05"/>
    <x v="19"/>
    <n v="5519.66"/>
    <n v="5238.8900000000003"/>
    <x v="1"/>
    <x v="1"/>
  </r>
  <r>
    <x v="20"/>
    <x v="19"/>
    <x v="2"/>
    <x v="0"/>
    <x v="7"/>
    <x v="20"/>
    <x v="1"/>
    <x v="5"/>
    <n v="666.59"/>
    <x v="20"/>
    <n v="1402.85"/>
    <n v="1263.51"/>
    <x v="0"/>
    <x v="3"/>
  </r>
  <r>
    <x v="21"/>
    <x v="20"/>
    <x v="1"/>
    <x v="0"/>
    <x v="7"/>
    <x v="21"/>
    <x v="4"/>
    <x v="13"/>
    <n v="751.24"/>
    <x v="21"/>
    <n v="9530.5300000000007"/>
    <n v="3240.55"/>
    <x v="1"/>
    <x v="0"/>
  </r>
  <r>
    <x v="22"/>
    <x v="21"/>
    <x v="2"/>
    <x v="1"/>
    <x v="4"/>
    <x v="22"/>
    <x v="0"/>
    <x v="9"/>
    <n v="945.37"/>
    <x v="22"/>
    <n v="6796.59"/>
    <n v="2657.11"/>
    <x v="2"/>
    <x v="2"/>
  </r>
  <r>
    <x v="23"/>
    <x v="22"/>
    <x v="1"/>
    <x v="0"/>
    <x v="5"/>
    <x v="7"/>
    <x v="3"/>
    <x v="6"/>
    <n v="736.43"/>
    <x v="23"/>
    <n v="7224.9"/>
    <n v="4557.9799999999996"/>
    <x v="2"/>
    <x v="3"/>
  </r>
  <r>
    <x v="24"/>
    <x v="23"/>
    <x v="0"/>
    <x v="2"/>
    <x v="6"/>
    <x v="23"/>
    <x v="4"/>
    <x v="3"/>
    <n v="1461.32"/>
    <x v="24"/>
    <n v="3921.25"/>
    <n v="462.71"/>
    <x v="2"/>
    <x v="2"/>
  </r>
  <r>
    <x v="25"/>
    <x v="24"/>
    <x v="0"/>
    <x v="2"/>
    <x v="6"/>
    <x v="24"/>
    <x v="0"/>
    <x v="12"/>
    <n v="979.29"/>
    <x v="25"/>
    <n v="3062.78"/>
    <n v="1833.67"/>
    <x v="0"/>
    <x v="1"/>
  </r>
  <r>
    <x v="26"/>
    <x v="25"/>
    <x v="1"/>
    <x v="0"/>
    <x v="7"/>
    <x v="25"/>
    <x v="2"/>
    <x v="10"/>
    <n v="1053.45"/>
    <x v="26"/>
    <n v="1869.94"/>
    <n v="236.96"/>
    <x v="0"/>
    <x v="3"/>
  </r>
  <r>
    <x v="27"/>
    <x v="26"/>
    <x v="3"/>
    <x v="0"/>
    <x v="7"/>
    <x v="26"/>
    <x v="3"/>
    <x v="14"/>
    <n v="880.26"/>
    <x v="27"/>
    <n v="11739.18"/>
    <n v="4985.76"/>
    <x v="0"/>
    <x v="1"/>
  </r>
  <r>
    <x v="28"/>
    <x v="27"/>
    <x v="3"/>
    <x v="1"/>
    <x v="1"/>
    <x v="27"/>
    <x v="0"/>
    <x v="15"/>
    <n v="158.68"/>
    <x v="28"/>
    <n v="534.79"/>
    <n v="417.29"/>
    <x v="0"/>
    <x v="1"/>
  </r>
  <r>
    <x v="29"/>
    <x v="28"/>
    <x v="0"/>
    <x v="1"/>
    <x v="2"/>
    <x v="28"/>
    <x v="0"/>
    <x v="9"/>
    <n v="133.06"/>
    <x v="29"/>
    <n v="1012.29"/>
    <n v="318.31"/>
    <x v="2"/>
    <x v="0"/>
  </r>
  <r>
    <x v="30"/>
    <x v="29"/>
    <x v="0"/>
    <x v="1"/>
    <x v="2"/>
    <x v="29"/>
    <x v="0"/>
    <x v="13"/>
    <n v="1149.8800000000001"/>
    <x v="30"/>
    <n v="12265.02"/>
    <n v="7282.94"/>
    <x v="0"/>
    <x v="2"/>
  </r>
  <r>
    <x v="31"/>
    <x v="30"/>
    <x v="2"/>
    <x v="2"/>
    <x v="3"/>
    <x v="30"/>
    <x v="0"/>
    <x v="11"/>
    <n v="730.23"/>
    <x v="31"/>
    <n v="8831.33"/>
    <n v="1391.89"/>
    <x v="0"/>
    <x v="1"/>
  </r>
  <r>
    <x v="32"/>
    <x v="31"/>
    <x v="0"/>
    <x v="2"/>
    <x v="8"/>
    <x v="31"/>
    <x v="5"/>
    <x v="1"/>
    <n v="188.94"/>
    <x v="32"/>
    <n v="149.59"/>
    <n v="39.35"/>
    <x v="1"/>
    <x v="2"/>
  </r>
  <r>
    <x v="33"/>
    <x v="32"/>
    <x v="3"/>
    <x v="1"/>
    <x v="1"/>
    <x v="32"/>
    <x v="4"/>
    <x v="3"/>
    <n v="306.70999999999998"/>
    <x v="33"/>
    <n v="581.70000000000005"/>
    <n v="338.43"/>
    <x v="2"/>
    <x v="3"/>
  </r>
  <r>
    <x v="34"/>
    <x v="33"/>
    <x v="1"/>
    <x v="0"/>
    <x v="5"/>
    <x v="33"/>
    <x v="0"/>
    <x v="16"/>
    <n v="198.16"/>
    <x v="34"/>
    <n v="3044.05"/>
    <n v="919.15"/>
    <x v="0"/>
    <x v="1"/>
  </r>
  <r>
    <x v="35"/>
    <x v="34"/>
    <x v="0"/>
    <x v="1"/>
    <x v="4"/>
    <x v="34"/>
    <x v="0"/>
    <x v="5"/>
    <n v="1183.1099999999999"/>
    <x v="35"/>
    <n v="4199.57"/>
    <n v="532.87"/>
    <x v="2"/>
    <x v="0"/>
  </r>
  <r>
    <x v="36"/>
    <x v="35"/>
    <x v="0"/>
    <x v="1"/>
    <x v="2"/>
    <x v="35"/>
    <x v="3"/>
    <x v="17"/>
    <n v="785.68"/>
    <x v="36"/>
    <n v="6295.15"/>
    <n v="3918.69"/>
    <x v="0"/>
    <x v="0"/>
  </r>
  <r>
    <x v="37"/>
    <x v="36"/>
    <x v="1"/>
    <x v="2"/>
    <x v="8"/>
    <x v="36"/>
    <x v="2"/>
    <x v="18"/>
    <n v="566.35"/>
    <x v="37"/>
    <n v="8080.23"/>
    <n v="2114.0700000000002"/>
    <x v="0"/>
    <x v="2"/>
  </r>
  <r>
    <x v="38"/>
    <x v="37"/>
    <x v="2"/>
    <x v="0"/>
    <x v="7"/>
    <x v="37"/>
    <x v="1"/>
    <x v="12"/>
    <n v="513.02"/>
    <x v="38"/>
    <n v="1560.51"/>
    <n v="1004.59"/>
    <x v="0"/>
    <x v="2"/>
  </r>
  <r>
    <x v="39"/>
    <x v="38"/>
    <x v="2"/>
    <x v="2"/>
    <x v="6"/>
    <x v="38"/>
    <x v="1"/>
    <x v="9"/>
    <n v="833.99"/>
    <x v="39"/>
    <n v="5210.1899999999996"/>
    <n v="3129.71"/>
    <x v="1"/>
    <x v="2"/>
  </r>
  <r>
    <x v="40"/>
    <x v="39"/>
    <x v="1"/>
    <x v="1"/>
    <x v="2"/>
    <x v="39"/>
    <x v="1"/>
    <x v="14"/>
    <n v="1258.18"/>
    <x v="40"/>
    <n v="17047.66"/>
    <n v="6857.76"/>
    <x v="1"/>
    <x v="3"/>
  </r>
  <r>
    <x v="41"/>
    <x v="40"/>
    <x v="1"/>
    <x v="0"/>
    <x v="0"/>
    <x v="40"/>
    <x v="3"/>
    <x v="6"/>
    <n v="1487.21"/>
    <x v="41"/>
    <n v="16283.4"/>
    <n v="7511.96"/>
    <x v="1"/>
    <x v="1"/>
  </r>
  <r>
    <x v="42"/>
    <x v="41"/>
    <x v="2"/>
    <x v="0"/>
    <x v="7"/>
    <x v="41"/>
    <x v="5"/>
    <x v="16"/>
    <n v="292.27"/>
    <x v="42"/>
    <n v="3970.28"/>
    <n v="1875.12"/>
    <x v="0"/>
    <x v="3"/>
  </r>
  <r>
    <x v="43"/>
    <x v="42"/>
    <x v="0"/>
    <x v="0"/>
    <x v="5"/>
    <x v="42"/>
    <x v="4"/>
    <x v="7"/>
    <n v="109.74"/>
    <x v="43"/>
    <n v="730.89"/>
    <n v="256.77"/>
    <x v="1"/>
    <x v="0"/>
  </r>
  <r>
    <x v="44"/>
    <x v="43"/>
    <x v="2"/>
    <x v="1"/>
    <x v="2"/>
    <x v="43"/>
    <x v="0"/>
    <x v="14"/>
    <n v="20.64"/>
    <x v="44"/>
    <n v="291.88"/>
    <n v="100.28"/>
    <x v="2"/>
    <x v="0"/>
  </r>
  <r>
    <x v="45"/>
    <x v="44"/>
    <x v="3"/>
    <x v="1"/>
    <x v="2"/>
    <x v="44"/>
    <x v="1"/>
    <x v="13"/>
    <n v="820.29"/>
    <x v="45"/>
    <n v="11022.75"/>
    <n v="2922.18"/>
    <x v="2"/>
    <x v="2"/>
  </r>
  <r>
    <x v="46"/>
    <x v="45"/>
    <x v="2"/>
    <x v="0"/>
    <x v="5"/>
    <x v="45"/>
    <x v="5"/>
    <x v="19"/>
    <n v="601.29999999999995"/>
    <x v="46"/>
    <n v="2923.63"/>
    <n v="1886.77"/>
    <x v="2"/>
    <x v="2"/>
  </r>
  <r>
    <x v="47"/>
    <x v="46"/>
    <x v="2"/>
    <x v="1"/>
    <x v="1"/>
    <x v="46"/>
    <x v="2"/>
    <x v="2"/>
    <n v="688.24"/>
    <x v="47"/>
    <n v="5885.01"/>
    <n v="4438.59"/>
    <x v="2"/>
    <x v="3"/>
  </r>
  <r>
    <x v="48"/>
    <x v="47"/>
    <x v="2"/>
    <x v="2"/>
    <x v="3"/>
    <x v="47"/>
    <x v="2"/>
    <x v="12"/>
    <n v="66.42"/>
    <x v="48"/>
    <n v="166.13"/>
    <n v="165.97"/>
    <x v="0"/>
    <x v="1"/>
  </r>
  <r>
    <x v="49"/>
    <x v="48"/>
    <x v="1"/>
    <x v="0"/>
    <x v="5"/>
    <x v="48"/>
    <x v="3"/>
    <x v="14"/>
    <n v="613.30999999999995"/>
    <x v="49"/>
    <n v="9176.91"/>
    <n v="2475.98"/>
    <x v="2"/>
    <x v="1"/>
  </r>
  <r>
    <x v="50"/>
    <x v="46"/>
    <x v="0"/>
    <x v="0"/>
    <x v="0"/>
    <x v="49"/>
    <x v="4"/>
    <x v="0"/>
    <n v="63.18"/>
    <x v="50"/>
    <n v="404"/>
    <n v="354.16"/>
    <x v="1"/>
    <x v="3"/>
  </r>
  <r>
    <x v="51"/>
    <x v="49"/>
    <x v="0"/>
    <x v="2"/>
    <x v="6"/>
    <x v="50"/>
    <x v="2"/>
    <x v="13"/>
    <n v="857.26"/>
    <x v="51"/>
    <n v="8928.24"/>
    <n v="5645.18"/>
    <x v="2"/>
    <x v="0"/>
  </r>
  <r>
    <x v="52"/>
    <x v="50"/>
    <x v="2"/>
    <x v="0"/>
    <x v="5"/>
    <x v="51"/>
    <x v="1"/>
    <x v="17"/>
    <n v="404.79"/>
    <x v="52"/>
    <n v="4369.54"/>
    <n v="892.73"/>
    <x v="1"/>
    <x v="1"/>
  </r>
  <r>
    <x v="53"/>
    <x v="51"/>
    <x v="2"/>
    <x v="1"/>
    <x v="4"/>
    <x v="52"/>
    <x v="2"/>
    <x v="13"/>
    <n v="602.4"/>
    <x v="53"/>
    <n v="7291.89"/>
    <n v="2948.91"/>
    <x v="2"/>
    <x v="2"/>
  </r>
  <r>
    <x v="54"/>
    <x v="4"/>
    <x v="1"/>
    <x v="2"/>
    <x v="6"/>
    <x v="53"/>
    <x v="4"/>
    <x v="15"/>
    <n v="351.4"/>
    <x v="54"/>
    <n v="1058.25"/>
    <n v="1050.1500000000001"/>
    <x v="0"/>
    <x v="3"/>
  </r>
  <r>
    <x v="55"/>
    <x v="52"/>
    <x v="0"/>
    <x v="2"/>
    <x v="3"/>
    <x v="54"/>
    <x v="1"/>
    <x v="9"/>
    <n v="1205.74"/>
    <x v="55"/>
    <n v="8860.6299999999992"/>
    <n v="3196.77"/>
    <x v="2"/>
    <x v="3"/>
  </r>
  <r>
    <x v="56"/>
    <x v="53"/>
    <x v="2"/>
    <x v="2"/>
    <x v="6"/>
    <x v="55"/>
    <x v="5"/>
    <x v="14"/>
    <n v="1487.42"/>
    <x v="56"/>
    <n v="24878.3"/>
    <n v="3382.68"/>
    <x v="0"/>
    <x v="2"/>
  </r>
  <r>
    <x v="57"/>
    <x v="54"/>
    <x v="1"/>
    <x v="0"/>
    <x v="5"/>
    <x v="56"/>
    <x v="4"/>
    <x v="1"/>
    <n v="256.68"/>
    <x v="57"/>
    <n v="180.71"/>
    <n v="75.97"/>
    <x v="2"/>
    <x v="0"/>
  </r>
  <r>
    <x v="58"/>
    <x v="55"/>
    <x v="2"/>
    <x v="0"/>
    <x v="7"/>
    <x v="57"/>
    <x v="2"/>
    <x v="14"/>
    <n v="978.78"/>
    <x v="58"/>
    <n v="15353.02"/>
    <n v="3243.8"/>
    <x v="2"/>
    <x v="0"/>
  </r>
  <r>
    <x v="59"/>
    <x v="35"/>
    <x v="1"/>
    <x v="2"/>
    <x v="3"/>
    <x v="58"/>
    <x v="2"/>
    <x v="13"/>
    <n v="1227.45"/>
    <x v="59"/>
    <n v="12509.68"/>
    <n v="8356.9699999999993"/>
    <x v="2"/>
    <x v="2"/>
  </r>
  <r>
    <x v="60"/>
    <x v="56"/>
    <x v="3"/>
    <x v="0"/>
    <x v="0"/>
    <x v="59"/>
    <x v="0"/>
    <x v="12"/>
    <n v="1159.18"/>
    <x v="60"/>
    <n v="4403.07"/>
    <n v="1392.83"/>
    <x v="0"/>
    <x v="3"/>
  </r>
  <r>
    <x v="61"/>
    <x v="57"/>
    <x v="2"/>
    <x v="1"/>
    <x v="4"/>
    <x v="60"/>
    <x v="3"/>
    <x v="3"/>
    <n v="1190.8"/>
    <x v="61"/>
    <n v="2601.23"/>
    <n v="971.17"/>
    <x v="1"/>
    <x v="2"/>
  </r>
  <r>
    <x v="62"/>
    <x v="13"/>
    <x v="1"/>
    <x v="0"/>
    <x v="7"/>
    <x v="61"/>
    <x v="2"/>
    <x v="0"/>
    <n v="1424.72"/>
    <x v="62"/>
    <n v="9960.91"/>
    <n v="7135.73"/>
    <x v="1"/>
    <x v="1"/>
  </r>
  <r>
    <x v="63"/>
    <x v="58"/>
    <x v="3"/>
    <x v="0"/>
    <x v="0"/>
    <x v="62"/>
    <x v="2"/>
    <x v="2"/>
    <n v="1308.21"/>
    <x v="63"/>
    <n v="11798.19"/>
    <n v="7824.96"/>
    <x v="1"/>
    <x v="1"/>
  </r>
  <r>
    <x v="64"/>
    <x v="59"/>
    <x v="0"/>
    <x v="0"/>
    <x v="7"/>
    <x v="63"/>
    <x v="0"/>
    <x v="16"/>
    <n v="265.58999999999997"/>
    <x v="64"/>
    <n v="4043.68"/>
    <n v="1268.1199999999999"/>
    <x v="0"/>
    <x v="0"/>
  </r>
  <r>
    <x v="65"/>
    <x v="60"/>
    <x v="1"/>
    <x v="2"/>
    <x v="6"/>
    <x v="64"/>
    <x v="2"/>
    <x v="18"/>
    <n v="1232.01"/>
    <x v="65"/>
    <n v="19179.009999999998"/>
    <n v="2997.17"/>
    <x v="0"/>
    <x v="2"/>
  </r>
  <r>
    <x v="66"/>
    <x v="61"/>
    <x v="1"/>
    <x v="1"/>
    <x v="4"/>
    <x v="65"/>
    <x v="0"/>
    <x v="9"/>
    <n v="1172.1400000000001"/>
    <x v="66"/>
    <n v="8496.25"/>
    <n v="3225.15"/>
    <x v="2"/>
    <x v="2"/>
  </r>
  <r>
    <x v="67"/>
    <x v="10"/>
    <x v="3"/>
    <x v="0"/>
    <x v="5"/>
    <x v="66"/>
    <x v="0"/>
    <x v="6"/>
    <n v="772.89"/>
    <x v="67"/>
    <n v="7335.16"/>
    <n v="5031.08"/>
    <x v="2"/>
    <x v="3"/>
  </r>
  <r>
    <x v="68"/>
    <x v="42"/>
    <x v="1"/>
    <x v="1"/>
    <x v="2"/>
    <x v="67"/>
    <x v="3"/>
    <x v="5"/>
    <n v="1272.9100000000001"/>
    <x v="68"/>
    <n v="2984.58"/>
    <n v="2107.06"/>
    <x v="2"/>
    <x v="1"/>
  </r>
  <r>
    <x v="69"/>
    <x v="1"/>
    <x v="1"/>
    <x v="2"/>
    <x v="6"/>
    <x v="68"/>
    <x v="1"/>
    <x v="2"/>
    <n v="1020.29"/>
    <x v="69"/>
    <n v="13186.3"/>
    <n v="2118.0500000000002"/>
    <x v="2"/>
    <x v="3"/>
  </r>
  <r>
    <x v="70"/>
    <x v="62"/>
    <x v="0"/>
    <x v="1"/>
    <x v="1"/>
    <x v="69"/>
    <x v="0"/>
    <x v="12"/>
    <n v="1377.81"/>
    <x v="70"/>
    <n v="3727.58"/>
    <n v="3161.47"/>
    <x v="2"/>
    <x v="2"/>
  </r>
  <r>
    <x v="71"/>
    <x v="63"/>
    <x v="0"/>
    <x v="2"/>
    <x v="3"/>
    <x v="70"/>
    <x v="5"/>
    <x v="13"/>
    <n v="1079.23"/>
    <x v="71"/>
    <n v="16492.669999999998"/>
    <n v="1854.24"/>
    <x v="1"/>
    <x v="0"/>
  </r>
  <r>
    <x v="72"/>
    <x v="64"/>
    <x v="0"/>
    <x v="2"/>
    <x v="3"/>
    <x v="71"/>
    <x v="3"/>
    <x v="3"/>
    <n v="291.13"/>
    <x v="72"/>
    <n v="448.49"/>
    <n v="424.9"/>
    <x v="0"/>
    <x v="2"/>
  </r>
  <r>
    <x v="73"/>
    <x v="65"/>
    <x v="1"/>
    <x v="0"/>
    <x v="5"/>
    <x v="72"/>
    <x v="0"/>
    <x v="17"/>
    <n v="394.23"/>
    <x v="73"/>
    <n v="3991.59"/>
    <n v="1133.4000000000001"/>
    <x v="2"/>
    <x v="3"/>
  </r>
  <r>
    <x v="74"/>
    <x v="66"/>
    <x v="0"/>
    <x v="0"/>
    <x v="5"/>
    <x v="73"/>
    <x v="1"/>
    <x v="16"/>
    <n v="446.42"/>
    <x v="74"/>
    <n v="7239.97"/>
    <n v="1688.43"/>
    <x v="2"/>
    <x v="1"/>
  </r>
  <r>
    <x v="75"/>
    <x v="67"/>
    <x v="2"/>
    <x v="0"/>
    <x v="5"/>
    <x v="74"/>
    <x v="3"/>
    <x v="19"/>
    <n v="599.49"/>
    <x v="75"/>
    <n v="2621.87"/>
    <n v="2174.0500000000002"/>
    <x v="2"/>
    <x v="1"/>
  </r>
  <r>
    <x v="76"/>
    <x v="68"/>
    <x v="0"/>
    <x v="1"/>
    <x v="1"/>
    <x v="75"/>
    <x v="4"/>
    <x v="5"/>
    <n v="1193.98"/>
    <x v="76"/>
    <n v="3218.34"/>
    <n v="1557.58"/>
    <x v="2"/>
    <x v="2"/>
  </r>
  <r>
    <x v="77"/>
    <x v="69"/>
    <x v="3"/>
    <x v="2"/>
    <x v="3"/>
    <x v="76"/>
    <x v="0"/>
    <x v="4"/>
    <n v="302.60000000000002"/>
    <x v="77"/>
    <n v="1129.71"/>
    <n v="988.49"/>
    <x v="0"/>
    <x v="1"/>
  </r>
  <r>
    <x v="78"/>
    <x v="53"/>
    <x v="0"/>
    <x v="2"/>
    <x v="6"/>
    <x v="77"/>
    <x v="5"/>
    <x v="12"/>
    <n v="1394.88"/>
    <x v="78"/>
    <n v="3517.76"/>
    <n v="3456.64"/>
    <x v="0"/>
    <x v="3"/>
  </r>
  <r>
    <x v="79"/>
    <x v="70"/>
    <x v="3"/>
    <x v="1"/>
    <x v="2"/>
    <x v="78"/>
    <x v="3"/>
    <x v="12"/>
    <n v="199.37"/>
    <x v="79"/>
    <n v="814.26"/>
    <n v="182.59"/>
    <x v="2"/>
    <x v="2"/>
  </r>
  <r>
    <x v="80"/>
    <x v="71"/>
    <x v="2"/>
    <x v="2"/>
    <x v="8"/>
    <x v="79"/>
    <x v="0"/>
    <x v="5"/>
    <n v="1296.6099999999999"/>
    <x v="80"/>
    <n v="3232.54"/>
    <n v="1953.9"/>
    <x v="2"/>
    <x v="2"/>
  </r>
  <r>
    <x v="81"/>
    <x v="72"/>
    <x v="2"/>
    <x v="1"/>
    <x v="2"/>
    <x v="80"/>
    <x v="0"/>
    <x v="5"/>
    <n v="604.99"/>
    <x v="81"/>
    <n v="1882.95"/>
    <n v="537.01"/>
    <x v="1"/>
    <x v="1"/>
  </r>
  <r>
    <x v="82"/>
    <x v="73"/>
    <x v="0"/>
    <x v="1"/>
    <x v="4"/>
    <x v="81"/>
    <x v="3"/>
    <x v="15"/>
    <n v="94.77"/>
    <x v="82"/>
    <n v="308.25"/>
    <n v="260.37"/>
    <x v="0"/>
    <x v="2"/>
  </r>
  <r>
    <x v="83"/>
    <x v="74"/>
    <x v="3"/>
    <x v="0"/>
    <x v="0"/>
    <x v="82"/>
    <x v="2"/>
    <x v="1"/>
    <n v="1124.92"/>
    <x v="83"/>
    <n v="797.19"/>
    <n v="327.73"/>
    <x v="1"/>
    <x v="3"/>
  </r>
  <r>
    <x v="84"/>
    <x v="53"/>
    <x v="0"/>
    <x v="1"/>
    <x v="1"/>
    <x v="83"/>
    <x v="5"/>
    <x v="15"/>
    <n v="851.13"/>
    <x v="84"/>
    <n v="3400.27"/>
    <n v="1706.51"/>
    <x v="1"/>
    <x v="0"/>
  </r>
  <r>
    <x v="85"/>
    <x v="75"/>
    <x v="0"/>
    <x v="0"/>
    <x v="0"/>
    <x v="84"/>
    <x v="4"/>
    <x v="9"/>
    <n v="1282.73"/>
    <x v="85"/>
    <n v="7881.27"/>
    <n v="4946.03"/>
    <x v="1"/>
    <x v="1"/>
  </r>
  <r>
    <x v="86"/>
    <x v="16"/>
    <x v="1"/>
    <x v="2"/>
    <x v="3"/>
    <x v="85"/>
    <x v="0"/>
    <x v="18"/>
    <n v="804.61"/>
    <x v="86"/>
    <n v="7955.81"/>
    <n v="6527.17"/>
    <x v="2"/>
    <x v="1"/>
  </r>
  <r>
    <x v="87"/>
    <x v="76"/>
    <x v="2"/>
    <x v="0"/>
    <x v="5"/>
    <x v="86"/>
    <x v="5"/>
    <x v="1"/>
    <n v="1494.72"/>
    <x v="87"/>
    <n v="910.67"/>
    <n v="584.04999999999995"/>
    <x v="0"/>
    <x v="2"/>
  </r>
  <r>
    <x v="88"/>
    <x v="77"/>
    <x v="1"/>
    <x v="0"/>
    <x v="0"/>
    <x v="87"/>
    <x v="3"/>
    <x v="2"/>
    <n v="1291.05"/>
    <x v="88"/>
    <n v="12094.66"/>
    <n v="7271.09"/>
    <x v="2"/>
    <x v="3"/>
  </r>
  <r>
    <x v="89"/>
    <x v="78"/>
    <x v="1"/>
    <x v="1"/>
    <x v="2"/>
    <x v="88"/>
    <x v="1"/>
    <x v="7"/>
    <n v="699.6"/>
    <x v="89"/>
    <n v="4515.4399999999996"/>
    <n v="1780.96"/>
    <x v="0"/>
    <x v="3"/>
  </r>
  <r>
    <x v="90"/>
    <x v="79"/>
    <x v="3"/>
    <x v="1"/>
    <x v="1"/>
    <x v="89"/>
    <x v="3"/>
    <x v="16"/>
    <n v="912.57"/>
    <x v="90"/>
    <n v="11611.73"/>
    <n v="6639.67"/>
    <x v="2"/>
    <x v="0"/>
  </r>
  <r>
    <x v="91"/>
    <x v="80"/>
    <x v="2"/>
    <x v="1"/>
    <x v="1"/>
    <x v="90"/>
    <x v="1"/>
    <x v="7"/>
    <n v="634.30999999999995"/>
    <x v="91"/>
    <n v="4129.92"/>
    <n v="1578.87"/>
    <x v="0"/>
    <x v="1"/>
  </r>
  <r>
    <x v="92"/>
    <x v="46"/>
    <x v="0"/>
    <x v="0"/>
    <x v="0"/>
    <x v="91"/>
    <x v="0"/>
    <x v="14"/>
    <n v="1331.44"/>
    <x v="92"/>
    <n v="21284.37"/>
    <n v="4012.99"/>
    <x v="1"/>
    <x v="0"/>
  </r>
  <r>
    <x v="93"/>
    <x v="5"/>
    <x v="0"/>
    <x v="1"/>
    <x v="4"/>
    <x v="92"/>
    <x v="5"/>
    <x v="0"/>
    <n v="1357.93"/>
    <x v="93"/>
    <n v="10638.25"/>
    <n v="5656.91"/>
    <x v="1"/>
    <x v="1"/>
  </r>
  <r>
    <x v="94"/>
    <x v="43"/>
    <x v="1"/>
    <x v="1"/>
    <x v="4"/>
    <x v="93"/>
    <x v="3"/>
    <x v="5"/>
    <n v="993.6"/>
    <x v="94"/>
    <n v="2846.49"/>
    <n v="1127.9100000000001"/>
    <x v="2"/>
    <x v="3"/>
  </r>
  <r>
    <x v="95"/>
    <x v="10"/>
    <x v="1"/>
    <x v="1"/>
    <x v="4"/>
    <x v="94"/>
    <x v="2"/>
    <x v="0"/>
    <n v="1201.8399999999999"/>
    <x v="95"/>
    <n v="9268.44"/>
    <n v="5153.6400000000003"/>
    <x v="0"/>
    <x v="0"/>
  </r>
  <r>
    <x v="96"/>
    <x v="81"/>
    <x v="0"/>
    <x v="0"/>
    <x v="0"/>
    <x v="95"/>
    <x v="1"/>
    <x v="0"/>
    <n v="897.96"/>
    <x v="96"/>
    <n v="7677.75"/>
    <n v="3097.77"/>
    <x v="1"/>
    <x v="3"/>
  </r>
  <r>
    <x v="97"/>
    <x v="82"/>
    <x v="3"/>
    <x v="2"/>
    <x v="8"/>
    <x v="96"/>
    <x v="2"/>
    <x v="3"/>
    <n v="1482.45"/>
    <x v="97"/>
    <n v="3639.22"/>
    <n v="808.13"/>
    <x v="0"/>
    <x v="2"/>
  </r>
  <r>
    <x v="98"/>
    <x v="4"/>
    <x v="1"/>
    <x v="1"/>
    <x v="4"/>
    <x v="97"/>
    <x v="0"/>
    <x v="1"/>
    <n v="440.7"/>
    <x v="98"/>
    <n v="280.44"/>
    <n v="160.26"/>
    <x v="0"/>
    <x v="1"/>
  </r>
  <r>
    <x v="99"/>
    <x v="83"/>
    <x v="1"/>
    <x v="2"/>
    <x v="6"/>
    <x v="98"/>
    <x v="4"/>
    <x v="5"/>
    <n v="730.28"/>
    <x v="99"/>
    <n v="2246.41"/>
    <n v="674.71"/>
    <x v="2"/>
    <x v="1"/>
  </r>
  <r>
    <x v="100"/>
    <x v="84"/>
    <x v="3"/>
    <x v="2"/>
    <x v="8"/>
    <x v="99"/>
    <x v="5"/>
    <x v="5"/>
    <n v="1304.5"/>
    <x v="100"/>
    <n v="3616.16"/>
    <n v="1601.84"/>
    <x v="0"/>
    <x v="3"/>
  </r>
  <r>
    <x v="101"/>
    <x v="85"/>
    <x v="3"/>
    <x v="1"/>
    <x v="4"/>
    <x v="52"/>
    <x v="1"/>
    <x v="6"/>
    <n v="116.45"/>
    <x v="101"/>
    <n v="941.07"/>
    <n v="922.13"/>
    <x v="2"/>
    <x v="3"/>
  </r>
  <r>
    <x v="102"/>
    <x v="86"/>
    <x v="3"/>
    <x v="1"/>
    <x v="1"/>
    <x v="100"/>
    <x v="3"/>
    <x v="17"/>
    <n v="321.13"/>
    <x v="102"/>
    <n v="3164.83"/>
    <n v="1009.86"/>
    <x v="2"/>
    <x v="0"/>
  </r>
  <r>
    <x v="103"/>
    <x v="68"/>
    <x v="3"/>
    <x v="1"/>
    <x v="2"/>
    <x v="101"/>
    <x v="1"/>
    <x v="10"/>
    <n v="65.91"/>
    <x v="103"/>
    <n v="72.91"/>
    <n v="58.91"/>
    <x v="1"/>
    <x v="2"/>
  </r>
  <r>
    <x v="104"/>
    <x v="87"/>
    <x v="2"/>
    <x v="0"/>
    <x v="7"/>
    <x v="102"/>
    <x v="5"/>
    <x v="9"/>
    <n v="1287.6199999999999"/>
    <x v="104"/>
    <n v="7005.71"/>
    <n v="5870.49"/>
    <x v="0"/>
    <x v="2"/>
  </r>
  <r>
    <x v="105"/>
    <x v="88"/>
    <x v="3"/>
    <x v="0"/>
    <x v="7"/>
    <x v="103"/>
    <x v="0"/>
    <x v="7"/>
    <n v="157.32"/>
    <x v="105"/>
    <n v="762.76"/>
    <n v="653.12"/>
    <x v="2"/>
    <x v="1"/>
  </r>
  <r>
    <x v="106"/>
    <x v="10"/>
    <x v="2"/>
    <x v="1"/>
    <x v="1"/>
    <x v="104"/>
    <x v="1"/>
    <x v="17"/>
    <n v="1391.65"/>
    <x v="106"/>
    <n v="15793.1"/>
    <n v="2298.35"/>
    <x v="0"/>
    <x v="0"/>
  </r>
  <r>
    <x v="107"/>
    <x v="10"/>
    <x v="3"/>
    <x v="2"/>
    <x v="3"/>
    <x v="105"/>
    <x v="3"/>
    <x v="9"/>
    <n v="367.28"/>
    <x v="107"/>
    <n v="2050.21"/>
    <n v="1622.59"/>
    <x v="0"/>
    <x v="3"/>
  </r>
  <r>
    <x v="108"/>
    <x v="3"/>
    <x v="3"/>
    <x v="1"/>
    <x v="2"/>
    <x v="106"/>
    <x v="5"/>
    <x v="13"/>
    <n v="64.819999999999993"/>
    <x v="108"/>
    <n v="874.58"/>
    <n v="227.36"/>
    <x v="1"/>
    <x v="1"/>
  </r>
  <r>
    <x v="109"/>
    <x v="89"/>
    <x v="0"/>
    <x v="1"/>
    <x v="4"/>
    <x v="107"/>
    <x v="3"/>
    <x v="0"/>
    <n v="640.55999999999995"/>
    <x v="109"/>
    <n v="4108.9799999999996"/>
    <n v="3577.74"/>
    <x v="0"/>
    <x v="1"/>
  </r>
  <r>
    <x v="110"/>
    <x v="90"/>
    <x v="2"/>
    <x v="1"/>
    <x v="4"/>
    <x v="108"/>
    <x v="4"/>
    <x v="1"/>
    <n v="1354.19"/>
    <x v="110"/>
    <n v="1050.82"/>
    <n v="303.37"/>
    <x v="2"/>
    <x v="1"/>
  </r>
  <r>
    <x v="111"/>
    <x v="91"/>
    <x v="0"/>
    <x v="2"/>
    <x v="3"/>
    <x v="109"/>
    <x v="5"/>
    <x v="16"/>
    <n v="1466.35"/>
    <x v="111"/>
    <n v="17425.95"/>
    <n v="11901.05"/>
    <x v="0"/>
    <x v="0"/>
  </r>
  <r>
    <x v="112"/>
    <x v="92"/>
    <x v="1"/>
    <x v="2"/>
    <x v="8"/>
    <x v="110"/>
    <x v="2"/>
    <x v="0"/>
    <n v="244.81"/>
    <x v="112"/>
    <n v="1646.92"/>
    <n v="1290.8"/>
    <x v="0"/>
    <x v="1"/>
  </r>
  <r>
    <x v="113"/>
    <x v="93"/>
    <x v="1"/>
    <x v="0"/>
    <x v="5"/>
    <x v="111"/>
    <x v="1"/>
    <x v="0"/>
    <n v="1130.04"/>
    <x v="113"/>
    <n v="7508.18"/>
    <n v="6052.3"/>
    <x v="2"/>
    <x v="0"/>
  </r>
  <r>
    <x v="114"/>
    <x v="94"/>
    <x v="0"/>
    <x v="1"/>
    <x v="4"/>
    <x v="112"/>
    <x v="2"/>
    <x v="4"/>
    <n v="1105.17"/>
    <x v="114"/>
    <n v="6496.77"/>
    <n v="1239.42"/>
    <x v="0"/>
    <x v="0"/>
  </r>
  <r>
    <x v="115"/>
    <x v="11"/>
    <x v="0"/>
    <x v="1"/>
    <x v="2"/>
    <x v="113"/>
    <x v="1"/>
    <x v="1"/>
    <n v="1092.5899999999999"/>
    <x v="115"/>
    <n v="968.39"/>
    <n v="124.2"/>
    <x v="0"/>
    <x v="0"/>
  </r>
  <r>
    <x v="116"/>
    <x v="35"/>
    <x v="0"/>
    <x v="0"/>
    <x v="5"/>
    <x v="114"/>
    <x v="0"/>
    <x v="8"/>
    <n v="1058.5899999999999"/>
    <x v="116"/>
    <n v="8329.43"/>
    <n v="3315.06"/>
    <x v="0"/>
    <x v="0"/>
  </r>
  <r>
    <x v="117"/>
    <x v="95"/>
    <x v="3"/>
    <x v="1"/>
    <x v="4"/>
    <x v="115"/>
    <x v="5"/>
    <x v="5"/>
    <n v="334.15"/>
    <x v="117"/>
    <n v="834.2"/>
    <n v="502.4"/>
    <x v="2"/>
    <x v="0"/>
  </r>
  <r>
    <x v="118"/>
    <x v="96"/>
    <x v="0"/>
    <x v="1"/>
    <x v="2"/>
    <x v="116"/>
    <x v="2"/>
    <x v="9"/>
    <n v="499.31"/>
    <x v="118"/>
    <n v="2714.52"/>
    <n v="2278.58"/>
    <x v="0"/>
    <x v="0"/>
  </r>
  <r>
    <x v="119"/>
    <x v="97"/>
    <x v="1"/>
    <x v="1"/>
    <x v="2"/>
    <x v="117"/>
    <x v="5"/>
    <x v="1"/>
    <n v="1309.58"/>
    <x v="119"/>
    <n v="1156.4000000000001"/>
    <n v="153.18"/>
    <x v="1"/>
    <x v="1"/>
  </r>
  <r>
    <x v="120"/>
    <x v="98"/>
    <x v="1"/>
    <x v="0"/>
    <x v="7"/>
    <x v="118"/>
    <x v="4"/>
    <x v="15"/>
    <n v="1124.08"/>
    <x v="120"/>
    <n v="4644.3599999999997"/>
    <n v="2100.12"/>
    <x v="1"/>
    <x v="0"/>
  </r>
  <r>
    <x v="121"/>
    <x v="40"/>
    <x v="3"/>
    <x v="2"/>
    <x v="3"/>
    <x v="119"/>
    <x v="3"/>
    <x v="1"/>
    <n v="418.22"/>
    <x v="121"/>
    <n v="260.19"/>
    <n v="158.03"/>
    <x v="1"/>
    <x v="2"/>
  </r>
  <r>
    <x v="122"/>
    <x v="99"/>
    <x v="1"/>
    <x v="2"/>
    <x v="6"/>
    <x v="120"/>
    <x v="4"/>
    <x v="17"/>
    <n v="316.25"/>
    <x v="122"/>
    <n v="3087.12"/>
    <n v="1024.1300000000001"/>
    <x v="2"/>
    <x v="1"/>
  </r>
  <r>
    <x v="123"/>
    <x v="100"/>
    <x v="3"/>
    <x v="0"/>
    <x v="7"/>
    <x v="121"/>
    <x v="0"/>
    <x v="6"/>
    <n v="567.5"/>
    <x v="123"/>
    <n v="7207.6"/>
    <n v="1872.4"/>
    <x v="1"/>
    <x v="1"/>
  </r>
  <r>
    <x v="124"/>
    <x v="61"/>
    <x v="2"/>
    <x v="2"/>
    <x v="6"/>
    <x v="122"/>
    <x v="3"/>
    <x v="11"/>
    <n v="1272.0899999999999"/>
    <x v="124"/>
    <n v="10219.42"/>
    <n v="7589.84"/>
    <x v="0"/>
    <x v="1"/>
  </r>
  <r>
    <x v="125"/>
    <x v="101"/>
    <x v="1"/>
    <x v="0"/>
    <x v="7"/>
    <x v="123"/>
    <x v="3"/>
    <x v="19"/>
    <n v="171.12"/>
    <x v="125"/>
    <n v="1047.96"/>
    <n v="321"/>
    <x v="2"/>
    <x v="0"/>
  </r>
  <r>
    <x v="126"/>
    <x v="90"/>
    <x v="2"/>
    <x v="2"/>
    <x v="3"/>
    <x v="124"/>
    <x v="5"/>
    <x v="10"/>
    <n v="1379.81"/>
    <x v="126"/>
    <n v="2439.5300000000002"/>
    <n v="320.08999999999997"/>
    <x v="2"/>
    <x v="0"/>
  </r>
  <r>
    <x v="127"/>
    <x v="25"/>
    <x v="3"/>
    <x v="2"/>
    <x v="6"/>
    <x v="125"/>
    <x v="3"/>
    <x v="10"/>
    <n v="926.61"/>
    <x v="127"/>
    <n v="1642.57"/>
    <n v="210.65"/>
    <x v="0"/>
    <x v="3"/>
  </r>
  <r>
    <x v="128"/>
    <x v="102"/>
    <x v="0"/>
    <x v="2"/>
    <x v="8"/>
    <x v="126"/>
    <x v="5"/>
    <x v="17"/>
    <n v="557.91999999999996"/>
    <x v="128"/>
    <n v="4779.49"/>
    <n v="2473.4699999999998"/>
    <x v="2"/>
    <x v="2"/>
  </r>
  <r>
    <x v="129"/>
    <x v="103"/>
    <x v="3"/>
    <x v="1"/>
    <x v="4"/>
    <x v="127"/>
    <x v="2"/>
    <x v="16"/>
    <n v="408.66"/>
    <x v="129"/>
    <n v="4106.1899999999996"/>
    <n v="4067.01"/>
    <x v="2"/>
    <x v="0"/>
  </r>
  <r>
    <x v="130"/>
    <x v="104"/>
    <x v="2"/>
    <x v="2"/>
    <x v="6"/>
    <x v="128"/>
    <x v="3"/>
    <x v="11"/>
    <n v="776.76"/>
    <x v="130"/>
    <n v="8843.2000000000007"/>
    <n v="2031.44"/>
    <x v="2"/>
    <x v="0"/>
  </r>
  <r>
    <x v="131"/>
    <x v="35"/>
    <x v="0"/>
    <x v="2"/>
    <x v="8"/>
    <x v="129"/>
    <x v="2"/>
    <x v="9"/>
    <n v="1334.76"/>
    <x v="131"/>
    <n v="7868.75"/>
    <n v="5478.85"/>
    <x v="1"/>
    <x v="1"/>
  </r>
  <r>
    <x v="132"/>
    <x v="105"/>
    <x v="3"/>
    <x v="1"/>
    <x v="1"/>
    <x v="130"/>
    <x v="1"/>
    <x v="0"/>
    <n v="1477.4"/>
    <x v="132"/>
    <n v="9714.4"/>
    <n v="8014.4"/>
    <x v="2"/>
    <x v="0"/>
  </r>
  <r>
    <x v="133"/>
    <x v="106"/>
    <x v="1"/>
    <x v="2"/>
    <x v="6"/>
    <x v="131"/>
    <x v="2"/>
    <x v="10"/>
    <n v="212.83"/>
    <x v="133"/>
    <n v="240.18"/>
    <n v="185.48"/>
    <x v="0"/>
    <x v="1"/>
  </r>
  <r>
    <x v="134"/>
    <x v="107"/>
    <x v="1"/>
    <x v="0"/>
    <x v="5"/>
    <x v="132"/>
    <x v="0"/>
    <x v="12"/>
    <n v="1174.95"/>
    <x v="134"/>
    <n v="4037.31"/>
    <n v="1837.44"/>
    <x v="1"/>
    <x v="1"/>
  </r>
  <r>
    <x v="135"/>
    <x v="108"/>
    <x v="1"/>
    <x v="2"/>
    <x v="8"/>
    <x v="133"/>
    <x v="1"/>
    <x v="2"/>
    <n v="412.69"/>
    <x v="135"/>
    <n v="3879"/>
    <n v="2311.35"/>
    <x v="2"/>
    <x v="3"/>
  </r>
  <r>
    <x v="136"/>
    <x v="109"/>
    <x v="2"/>
    <x v="1"/>
    <x v="2"/>
    <x v="134"/>
    <x v="3"/>
    <x v="10"/>
    <n v="1054.67"/>
    <x v="136"/>
    <n v="1833.77"/>
    <n v="275.57"/>
    <x v="1"/>
    <x v="0"/>
  </r>
  <r>
    <x v="137"/>
    <x v="110"/>
    <x v="2"/>
    <x v="1"/>
    <x v="4"/>
    <x v="135"/>
    <x v="5"/>
    <x v="7"/>
    <n v="990.95"/>
    <x v="137"/>
    <n v="7886.95"/>
    <n v="1031.5999999999999"/>
    <x v="2"/>
    <x v="2"/>
  </r>
  <r>
    <x v="138"/>
    <x v="111"/>
    <x v="1"/>
    <x v="1"/>
    <x v="2"/>
    <x v="136"/>
    <x v="5"/>
    <x v="5"/>
    <n v="1180.8800000000001"/>
    <x v="138"/>
    <n v="3937.09"/>
    <n v="786.43"/>
    <x v="2"/>
    <x v="2"/>
  </r>
  <r>
    <x v="139"/>
    <x v="44"/>
    <x v="3"/>
    <x v="2"/>
    <x v="3"/>
    <x v="137"/>
    <x v="1"/>
    <x v="10"/>
    <n v="664.07"/>
    <x v="139"/>
    <n v="849.69"/>
    <n v="478.45"/>
    <x v="1"/>
    <x v="3"/>
  </r>
  <r>
    <x v="140"/>
    <x v="112"/>
    <x v="0"/>
    <x v="1"/>
    <x v="1"/>
    <x v="138"/>
    <x v="0"/>
    <x v="6"/>
    <n v="434.7"/>
    <x v="140"/>
    <n v="4741.8599999999997"/>
    <n v="2213.34"/>
    <x v="0"/>
    <x v="0"/>
  </r>
  <r>
    <x v="141"/>
    <x v="113"/>
    <x v="1"/>
    <x v="1"/>
    <x v="2"/>
    <x v="139"/>
    <x v="2"/>
    <x v="5"/>
    <n v="772.78"/>
    <x v="141"/>
    <n v="2570.9299999999998"/>
    <n v="520.19000000000005"/>
    <x v="1"/>
    <x v="1"/>
  </r>
  <r>
    <x v="142"/>
    <x v="114"/>
    <x v="2"/>
    <x v="2"/>
    <x v="8"/>
    <x v="140"/>
    <x v="4"/>
    <x v="14"/>
    <n v="1205.3699999999999"/>
    <x v="142"/>
    <n v="14053.38"/>
    <n v="8848.65"/>
    <x v="0"/>
    <x v="0"/>
  </r>
  <r>
    <x v="143"/>
    <x v="115"/>
    <x v="1"/>
    <x v="0"/>
    <x v="7"/>
    <x v="141"/>
    <x v="0"/>
    <x v="14"/>
    <n v="756.7"/>
    <x v="143"/>
    <n v="7933.96"/>
    <n v="6443.34"/>
    <x v="2"/>
    <x v="1"/>
  </r>
  <r>
    <x v="144"/>
    <x v="116"/>
    <x v="1"/>
    <x v="2"/>
    <x v="3"/>
    <x v="142"/>
    <x v="1"/>
    <x v="19"/>
    <n v="702.73"/>
    <x v="144"/>
    <n v="2904.7"/>
    <n v="2717.14"/>
    <x v="2"/>
    <x v="2"/>
  </r>
  <r>
    <x v="145"/>
    <x v="3"/>
    <x v="2"/>
    <x v="1"/>
    <x v="4"/>
    <x v="143"/>
    <x v="2"/>
    <x v="6"/>
    <n v="492.52"/>
    <x v="145"/>
    <n v="5494.24"/>
    <n v="2386.08"/>
    <x v="2"/>
    <x v="1"/>
  </r>
  <r>
    <x v="146"/>
    <x v="88"/>
    <x v="0"/>
    <x v="0"/>
    <x v="0"/>
    <x v="144"/>
    <x v="1"/>
    <x v="8"/>
    <n v="97.44"/>
    <x v="146"/>
    <n v="923.3"/>
    <n v="148.54"/>
    <x v="0"/>
    <x v="1"/>
  </r>
  <r>
    <x v="147"/>
    <x v="117"/>
    <x v="2"/>
    <x v="0"/>
    <x v="0"/>
    <x v="145"/>
    <x v="1"/>
    <x v="16"/>
    <n v="71.02"/>
    <x v="147"/>
    <n v="838.47"/>
    <n v="581.92999999999995"/>
    <x v="1"/>
    <x v="0"/>
  </r>
  <r>
    <x v="148"/>
    <x v="97"/>
    <x v="0"/>
    <x v="1"/>
    <x v="2"/>
    <x v="146"/>
    <x v="1"/>
    <x v="1"/>
    <n v="854.26"/>
    <x v="148"/>
    <n v="748.91"/>
    <n v="105.35"/>
    <x v="1"/>
    <x v="2"/>
  </r>
  <r>
    <x v="149"/>
    <x v="57"/>
    <x v="3"/>
    <x v="2"/>
    <x v="3"/>
    <x v="147"/>
    <x v="1"/>
    <x v="8"/>
    <n v="957.56"/>
    <x v="149"/>
    <n v="7792.03"/>
    <n v="2741.13"/>
    <x v="1"/>
    <x v="1"/>
  </r>
  <r>
    <x v="150"/>
    <x v="118"/>
    <x v="3"/>
    <x v="0"/>
    <x v="7"/>
    <x v="148"/>
    <x v="3"/>
    <x v="18"/>
    <n v="102.25"/>
    <x v="150"/>
    <n v="1178.8499999999999"/>
    <n v="661.65"/>
    <x v="1"/>
    <x v="0"/>
  </r>
  <r>
    <x v="151"/>
    <x v="119"/>
    <x v="2"/>
    <x v="2"/>
    <x v="3"/>
    <x v="149"/>
    <x v="5"/>
    <x v="9"/>
    <n v="801.9"/>
    <x v="151"/>
    <n v="5840.9"/>
    <n v="2178.1"/>
    <x v="2"/>
    <x v="1"/>
  </r>
  <r>
    <x v="152"/>
    <x v="69"/>
    <x v="2"/>
    <x v="2"/>
    <x v="6"/>
    <x v="150"/>
    <x v="2"/>
    <x v="12"/>
    <n v="903.28"/>
    <x v="152"/>
    <n v="3120.84"/>
    <n v="1395.56"/>
    <x v="0"/>
    <x v="2"/>
  </r>
  <r>
    <x v="153"/>
    <x v="77"/>
    <x v="2"/>
    <x v="2"/>
    <x v="8"/>
    <x v="151"/>
    <x v="0"/>
    <x v="12"/>
    <n v="957.3"/>
    <x v="153"/>
    <n v="2567.27"/>
    <n v="2219.23"/>
    <x v="0"/>
    <x v="2"/>
  </r>
  <r>
    <x v="154"/>
    <x v="120"/>
    <x v="3"/>
    <x v="0"/>
    <x v="7"/>
    <x v="152"/>
    <x v="2"/>
    <x v="4"/>
    <n v="263.95"/>
    <x v="154"/>
    <n v="1426.94"/>
    <n v="420.71"/>
    <x v="2"/>
    <x v="1"/>
  </r>
  <r>
    <x v="155"/>
    <x v="74"/>
    <x v="1"/>
    <x v="2"/>
    <x v="8"/>
    <x v="153"/>
    <x v="1"/>
    <x v="11"/>
    <n v="126.45"/>
    <x v="155"/>
    <n v="1261.01"/>
    <n v="509.29"/>
    <x v="0"/>
    <x v="2"/>
  </r>
  <r>
    <x v="156"/>
    <x v="121"/>
    <x v="3"/>
    <x v="2"/>
    <x v="3"/>
    <x v="154"/>
    <x v="0"/>
    <x v="17"/>
    <n v="616.58000000000004"/>
    <x v="156"/>
    <n v="7068.55"/>
    <n v="946.99"/>
    <x v="1"/>
    <x v="2"/>
  </r>
  <r>
    <x v="157"/>
    <x v="90"/>
    <x v="2"/>
    <x v="2"/>
    <x v="3"/>
    <x v="155"/>
    <x v="1"/>
    <x v="1"/>
    <n v="663.2"/>
    <x v="157"/>
    <n v="565.71"/>
    <n v="97.49"/>
    <x v="1"/>
    <x v="2"/>
  </r>
  <r>
    <x v="158"/>
    <x v="122"/>
    <x v="2"/>
    <x v="1"/>
    <x v="1"/>
    <x v="27"/>
    <x v="2"/>
    <x v="19"/>
    <n v="694.99"/>
    <x v="158"/>
    <n v="3771.99"/>
    <n v="1787.93"/>
    <x v="0"/>
    <x v="1"/>
  </r>
  <r>
    <x v="159"/>
    <x v="123"/>
    <x v="3"/>
    <x v="0"/>
    <x v="5"/>
    <x v="156"/>
    <x v="4"/>
    <x v="14"/>
    <n v="926.83"/>
    <x v="159"/>
    <n v="15288.72"/>
    <n v="2321.0500000000002"/>
    <x v="2"/>
    <x v="0"/>
  </r>
  <r>
    <x v="160"/>
    <x v="124"/>
    <x v="0"/>
    <x v="0"/>
    <x v="0"/>
    <x v="157"/>
    <x v="4"/>
    <x v="14"/>
    <n v="389"/>
    <x v="160"/>
    <n v="4709.79"/>
    <n v="2681.21"/>
    <x v="2"/>
    <x v="2"/>
  </r>
  <r>
    <x v="161"/>
    <x v="125"/>
    <x v="2"/>
    <x v="2"/>
    <x v="8"/>
    <x v="158"/>
    <x v="1"/>
    <x v="12"/>
    <n v="423.67"/>
    <x v="161"/>
    <n v="1342.81"/>
    <n v="775.54"/>
    <x v="2"/>
    <x v="1"/>
  </r>
  <r>
    <x v="162"/>
    <x v="73"/>
    <x v="2"/>
    <x v="2"/>
    <x v="8"/>
    <x v="31"/>
    <x v="0"/>
    <x v="12"/>
    <n v="1485.82"/>
    <x v="162"/>
    <n v="5206.62"/>
    <n v="2222.48"/>
    <x v="1"/>
    <x v="2"/>
  </r>
  <r>
    <x v="163"/>
    <x v="126"/>
    <x v="1"/>
    <x v="0"/>
    <x v="0"/>
    <x v="159"/>
    <x v="3"/>
    <x v="6"/>
    <n v="308.42"/>
    <x v="163"/>
    <n v="4102.4799999999996"/>
    <n v="832.24"/>
    <x v="2"/>
    <x v="3"/>
  </r>
  <r>
    <x v="164"/>
    <x v="127"/>
    <x v="2"/>
    <x v="1"/>
    <x v="1"/>
    <x v="160"/>
    <x v="0"/>
    <x v="3"/>
    <n v="600.61"/>
    <x v="164"/>
    <n v="1483.02"/>
    <n v="318.81"/>
    <x v="0"/>
    <x v="1"/>
  </r>
  <r>
    <x v="165"/>
    <x v="103"/>
    <x v="2"/>
    <x v="2"/>
    <x v="3"/>
    <x v="161"/>
    <x v="1"/>
    <x v="0"/>
    <n v="880.73"/>
    <x v="165"/>
    <n v="7972.32"/>
    <n v="2596.44"/>
    <x v="0"/>
    <x v="2"/>
  </r>
  <r>
    <x v="166"/>
    <x v="128"/>
    <x v="2"/>
    <x v="2"/>
    <x v="8"/>
    <x v="162"/>
    <x v="4"/>
    <x v="16"/>
    <n v="660.38"/>
    <x v="166"/>
    <n v="10539.24"/>
    <n v="2668.36"/>
    <x v="1"/>
    <x v="1"/>
  </r>
  <r>
    <x v="167"/>
    <x v="3"/>
    <x v="0"/>
    <x v="1"/>
    <x v="2"/>
    <x v="163"/>
    <x v="1"/>
    <x v="13"/>
    <n v="848.8"/>
    <x v="167"/>
    <n v="8469.11"/>
    <n v="5960.49"/>
    <x v="2"/>
    <x v="1"/>
  </r>
  <r>
    <x v="168"/>
    <x v="129"/>
    <x v="3"/>
    <x v="2"/>
    <x v="8"/>
    <x v="164"/>
    <x v="0"/>
    <x v="7"/>
    <n v="679.71"/>
    <x v="168"/>
    <n v="4482.54"/>
    <n v="1634.85"/>
    <x v="2"/>
    <x v="1"/>
  </r>
  <r>
    <x v="169"/>
    <x v="130"/>
    <x v="0"/>
    <x v="2"/>
    <x v="3"/>
    <x v="165"/>
    <x v="5"/>
    <x v="8"/>
    <n v="170.46"/>
    <x v="169"/>
    <n v="1455.9"/>
    <n v="419.16"/>
    <x v="0"/>
    <x v="2"/>
  </r>
  <r>
    <x v="170"/>
    <x v="121"/>
    <x v="0"/>
    <x v="2"/>
    <x v="3"/>
    <x v="166"/>
    <x v="5"/>
    <x v="10"/>
    <n v="1280.29"/>
    <x v="170"/>
    <n v="1284.98"/>
    <n v="1275.5999999999999"/>
    <x v="0"/>
    <x v="0"/>
  </r>
  <r>
    <x v="171"/>
    <x v="131"/>
    <x v="1"/>
    <x v="0"/>
    <x v="5"/>
    <x v="167"/>
    <x v="3"/>
    <x v="2"/>
    <n v="859.05"/>
    <x v="171"/>
    <n v="11376.59"/>
    <n v="1509.16"/>
    <x v="1"/>
    <x v="1"/>
  </r>
  <r>
    <x v="172"/>
    <x v="132"/>
    <x v="2"/>
    <x v="2"/>
    <x v="6"/>
    <x v="168"/>
    <x v="1"/>
    <x v="7"/>
    <n v="643.82000000000005"/>
    <x v="172"/>
    <n v="4378.22"/>
    <n v="1416.16"/>
    <x v="0"/>
    <x v="2"/>
  </r>
  <r>
    <x v="173"/>
    <x v="133"/>
    <x v="2"/>
    <x v="2"/>
    <x v="8"/>
    <x v="169"/>
    <x v="4"/>
    <x v="11"/>
    <n v="803.76"/>
    <x v="173"/>
    <n v="6398.2"/>
    <n v="4854.4399999999996"/>
    <x v="0"/>
    <x v="3"/>
  </r>
  <r>
    <x v="174"/>
    <x v="53"/>
    <x v="3"/>
    <x v="1"/>
    <x v="2"/>
    <x v="170"/>
    <x v="0"/>
    <x v="1"/>
    <n v="1205.68"/>
    <x v="174"/>
    <n v="1069.77"/>
    <n v="135.91"/>
    <x v="0"/>
    <x v="3"/>
  </r>
  <r>
    <x v="175"/>
    <x v="54"/>
    <x v="0"/>
    <x v="1"/>
    <x v="1"/>
    <x v="171"/>
    <x v="4"/>
    <x v="15"/>
    <n v="629.54999999999995"/>
    <x v="175"/>
    <n v="2755.32"/>
    <n v="1021.98"/>
    <x v="0"/>
    <x v="3"/>
  </r>
  <r>
    <x v="176"/>
    <x v="134"/>
    <x v="0"/>
    <x v="0"/>
    <x v="5"/>
    <x v="172"/>
    <x v="4"/>
    <x v="11"/>
    <n v="380.54"/>
    <x v="176"/>
    <n v="4775.5200000000004"/>
    <n v="552.04"/>
    <x v="0"/>
    <x v="3"/>
  </r>
  <r>
    <x v="177"/>
    <x v="104"/>
    <x v="2"/>
    <x v="0"/>
    <x v="5"/>
    <x v="173"/>
    <x v="2"/>
    <x v="14"/>
    <n v="1299.44"/>
    <x v="177"/>
    <n v="18785.650000000001"/>
    <n v="5903.71"/>
    <x v="1"/>
    <x v="3"/>
  </r>
  <r>
    <x v="178"/>
    <x v="25"/>
    <x v="3"/>
    <x v="0"/>
    <x v="5"/>
    <x v="174"/>
    <x v="4"/>
    <x v="12"/>
    <n v="993.35"/>
    <x v="178"/>
    <n v="2503.4499999999998"/>
    <n v="2463.3000000000002"/>
    <x v="0"/>
    <x v="0"/>
  </r>
  <r>
    <x v="179"/>
    <x v="129"/>
    <x v="2"/>
    <x v="0"/>
    <x v="0"/>
    <x v="175"/>
    <x v="1"/>
    <x v="15"/>
    <n v="346.74"/>
    <x v="179"/>
    <n v="1335.3"/>
    <n v="745.14"/>
    <x v="0"/>
    <x v="1"/>
  </r>
  <r>
    <x v="180"/>
    <x v="135"/>
    <x v="3"/>
    <x v="0"/>
    <x v="5"/>
    <x v="176"/>
    <x v="2"/>
    <x v="1"/>
    <n v="913.98"/>
    <x v="180"/>
    <n v="696.01"/>
    <n v="217.97"/>
    <x v="2"/>
    <x v="2"/>
  </r>
  <r>
    <x v="181"/>
    <x v="136"/>
    <x v="2"/>
    <x v="0"/>
    <x v="0"/>
    <x v="177"/>
    <x v="0"/>
    <x v="11"/>
    <n v="709.15"/>
    <x v="181"/>
    <n v="7296.8"/>
    <n v="2631.3"/>
    <x v="2"/>
    <x v="1"/>
  </r>
  <r>
    <x v="182"/>
    <x v="135"/>
    <x v="3"/>
    <x v="0"/>
    <x v="7"/>
    <x v="178"/>
    <x v="4"/>
    <x v="6"/>
    <n v="336.05"/>
    <x v="182"/>
    <n v="4802.6400000000003"/>
    <n v="574.16"/>
    <x v="2"/>
    <x v="3"/>
  </r>
  <r>
    <x v="183"/>
    <x v="74"/>
    <x v="1"/>
    <x v="1"/>
    <x v="4"/>
    <x v="179"/>
    <x v="4"/>
    <x v="14"/>
    <n v="523.20000000000005"/>
    <x v="183"/>
    <n v="8480.69"/>
    <n v="1460.11"/>
    <x v="2"/>
    <x v="1"/>
  </r>
  <r>
    <x v="184"/>
    <x v="137"/>
    <x v="0"/>
    <x v="1"/>
    <x v="1"/>
    <x v="180"/>
    <x v="4"/>
    <x v="8"/>
    <n v="1420.68"/>
    <x v="184"/>
    <n v="13995.15"/>
    <n v="1632.33"/>
    <x v="1"/>
    <x v="1"/>
  </r>
  <r>
    <x v="185"/>
    <x v="58"/>
    <x v="2"/>
    <x v="0"/>
    <x v="5"/>
    <x v="181"/>
    <x v="5"/>
    <x v="4"/>
    <n v="276.47000000000003"/>
    <x v="185"/>
    <n v="1711.72"/>
    <n v="223.57"/>
    <x v="2"/>
    <x v="2"/>
  </r>
  <r>
    <x v="186"/>
    <x v="15"/>
    <x v="3"/>
    <x v="1"/>
    <x v="2"/>
    <x v="182"/>
    <x v="2"/>
    <x v="18"/>
    <n v="481.27"/>
    <x v="186"/>
    <n v="4473.6000000000004"/>
    <n v="4189.26"/>
    <x v="2"/>
    <x v="1"/>
  </r>
  <r>
    <x v="187"/>
    <x v="3"/>
    <x v="0"/>
    <x v="0"/>
    <x v="0"/>
    <x v="183"/>
    <x v="5"/>
    <x v="16"/>
    <n v="370.54"/>
    <x v="187"/>
    <n v="6218.76"/>
    <n v="1192.04"/>
    <x v="1"/>
    <x v="1"/>
  </r>
  <r>
    <x v="188"/>
    <x v="138"/>
    <x v="3"/>
    <x v="2"/>
    <x v="6"/>
    <x v="184"/>
    <x v="4"/>
    <x v="6"/>
    <n v="887.87"/>
    <x v="188"/>
    <n v="11473.59"/>
    <n v="2732.33"/>
    <x v="0"/>
    <x v="1"/>
  </r>
  <r>
    <x v="189"/>
    <x v="139"/>
    <x v="0"/>
    <x v="0"/>
    <x v="0"/>
    <x v="185"/>
    <x v="0"/>
    <x v="7"/>
    <n v="491.86"/>
    <x v="189"/>
    <n v="3449.4"/>
    <n v="977.34"/>
    <x v="0"/>
    <x v="2"/>
  </r>
  <r>
    <x v="190"/>
    <x v="74"/>
    <x v="2"/>
    <x v="2"/>
    <x v="6"/>
    <x v="186"/>
    <x v="5"/>
    <x v="18"/>
    <n v="25.27"/>
    <x v="190"/>
    <n v="306.77"/>
    <n v="148.09"/>
    <x v="2"/>
    <x v="0"/>
  </r>
  <r>
    <x v="191"/>
    <x v="140"/>
    <x v="1"/>
    <x v="0"/>
    <x v="7"/>
    <x v="187"/>
    <x v="1"/>
    <x v="19"/>
    <n v="257.05"/>
    <x v="191"/>
    <n v="1486.83"/>
    <n v="569.57000000000005"/>
    <x v="1"/>
    <x v="3"/>
  </r>
  <r>
    <x v="192"/>
    <x v="57"/>
    <x v="0"/>
    <x v="0"/>
    <x v="7"/>
    <x v="188"/>
    <x v="3"/>
    <x v="13"/>
    <n v="1467.44"/>
    <x v="192"/>
    <n v="20173.25"/>
    <n v="4773.2299999999996"/>
    <x v="1"/>
    <x v="0"/>
  </r>
  <r>
    <x v="193"/>
    <x v="141"/>
    <x v="1"/>
    <x v="2"/>
    <x v="8"/>
    <x v="189"/>
    <x v="1"/>
    <x v="11"/>
    <n v="167.94"/>
    <x v="193"/>
    <n v="1672.99"/>
    <n v="678.17"/>
    <x v="1"/>
    <x v="2"/>
  </r>
  <r>
    <x v="194"/>
    <x v="142"/>
    <x v="2"/>
    <x v="0"/>
    <x v="5"/>
    <x v="190"/>
    <x v="4"/>
    <x v="12"/>
    <n v="1166.81"/>
    <x v="194"/>
    <n v="3424.43"/>
    <n v="2409.62"/>
    <x v="2"/>
    <x v="2"/>
  </r>
  <r>
    <x v="195"/>
    <x v="143"/>
    <x v="1"/>
    <x v="2"/>
    <x v="8"/>
    <x v="191"/>
    <x v="4"/>
    <x v="1"/>
    <n v="700.15"/>
    <x v="195"/>
    <n v="557.16999999999996"/>
    <n v="142.97999999999999"/>
    <x v="0"/>
    <x v="3"/>
  </r>
  <r>
    <x v="196"/>
    <x v="124"/>
    <x v="0"/>
    <x v="2"/>
    <x v="6"/>
    <x v="192"/>
    <x v="1"/>
    <x v="14"/>
    <n v="867.62"/>
    <x v="196"/>
    <n v="12542.85"/>
    <n v="3941.93"/>
    <x v="0"/>
    <x v="1"/>
  </r>
  <r>
    <x v="197"/>
    <x v="144"/>
    <x v="2"/>
    <x v="2"/>
    <x v="3"/>
    <x v="193"/>
    <x v="2"/>
    <x v="7"/>
    <n v="898.84"/>
    <x v="197"/>
    <n v="7057.35"/>
    <n v="1032.21"/>
    <x v="2"/>
    <x v="3"/>
  </r>
  <r>
    <x v="198"/>
    <x v="145"/>
    <x v="2"/>
    <x v="1"/>
    <x v="4"/>
    <x v="194"/>
    <x v="4"/>
    <x v="14"/>
    <n v="150.24"/>
    <x v="198"/>
    <n v="1442.18"/>
    <n v="1412.38"/>
    <x v="2"/>
    <x v="2"/>
  </r>
  <r>
    <x v="199"/>
    <x v="146"/>
    <x v="3"/>
    <x v="2"/>
    <x v="3"/>
    <x v="195"/>
    <x v="0"/>
    <x v="14"/>
    <n v="1005.63"/>
    <x v="199"/>
    <n v="15309.88"/>
    <n v="3797.09"/>
    <x v="2"/>
    <x v="1"/>
  </r>
  <r>
    <x v="200"/>
    <x v="147"/>
    <x v="3"/>
    <x v="0"/>
    <x v="7"/>
    <x v="196"/>
    <x v="0"/>
    <x v="4"/>
    <n v="209.32"/>
    <x v="200"/>
    <n v="1220.99"/>
    <n v="244.25"/>
    <x v="1"/>
    <x v="1"/>
  </r>
  <r>
    <x v="201"/>
    <x v="46"/>
    <x v="0"/>
    <x v="2"/>
    <x v="3"/>
    <x v="197"/>
    <x v="4"/>
    <x v="16"/>
    <n v="452.74"/>
    <x v="201"/>
    <n v="6792.13"/>
    <n v="2262.67"/>
    <x v="1"/>
    <x v="3"/>
  </r>
  <r>
    <x v="202"/>
    <x v="51"/>
    <x v="1"/>
    <x v="0"/>
    <x v="5"/>
    <x v="198"/>
    <x v="2"/>
    <x v="18"/>
    <n v="1403.04"/>
    <x v="202"/>
    <n v="12765.99"/>
    <n v="12488.73"/>
    <x v="0"/>
    <x v="3"/>
  </r>
  <r>
    <x v="203"/>
    <x v="148"/>
    <x v="1"/>
    <x v="0"/>
    <x v="7"/>
    <x v="199"/>
    <x v="2"/>
    <x v="6"/>
    <n v="378.59"/>
    <x v="203"/>
    <n v="4025.81"/>
    <n v="2031.63"/>
    <x v="0"/>
    <x v="3"/>
  </r>
  <r>
    <x v="204"/>
    <x v="149"/>
    <x v="1"/>
    <x v="2"/>
    <x v="6"/>
    <x v="200"/>
    <x v="1"/>
    <x v="13"/>
    <n v="1434.81"/>
    <x v="204"/>
    <n v="15564.61"/>
    <n v="8827.16"/>
    <x v="1"/>
    <x v="1"/>
  </r>
  <r>
    <x v="205"/>
    <x v="150"/>
    <x v="1"/>
    <x v="0"/>
    <x v="5"/>
    <x v="201"/>
    <x v="0"/>
    <x v="10"/>
    <n v="1278.94"/>
    <x v="205"/>
    <n v="1535.11"/>
    <n v="1022.77"/>
    <x v="2"/>
    <x v="2"/>
  </r>
  <r>
    <x v="206"/>
    <x v="151"/>
    <x v="1"/>
    <x v="0"/>
    <x v="5"/>
    <x v="202"/>
    <x v="1"/>
    <x v="11"/>
    <n v="934.58"/>
    <x v="206"/>
    <n v="9175.58"/>
    <n v="3908.54"/>
    <x v="0"/>
    <x v="1"/>
  </r>
  <r>
    <x v="207"/>
    <x v="152"/>
    <x v="1"/>
    <x v="2"/>
    <x v="6"/>
    <x v="203"/>
    <x v="3"/>
    <x v="19"/>
    <n v="87.86"/>
    <x v="207"/>
    <n v="577.70000000000005"/>
    <n v="125.18"/>
    <x v="1"/>
    <x v="3"/>
  </r>
  <r>
    <x v="208"/>
    <x v="93"/>
    <x v="2"/>
    <x v="2"/>
    <x v="3"/>
    <x v="204"/>
    <x v="3"/>
    <x v="14"/>
    <n v="822.34"/>
    <x v="208"/>
    <n v="8491.18"/>
    <n v="7133.28"/>
    <x v="2"/>
    <x v="1"/>
  </r>
  <r>
    <x v="209"/>
    <x v="153"/>
    <x v="2"/>
    <x v="1"/>
    <x v="1"/>
    <x v="205"/>
    <x v="2"/>
    <x v="13"/>
    <n v="159"/>
    <x v="209"/>
    <n v="2202.39"/>
    <n v="500.61"/>
    <x v="1"/>
    <x v="1"/>
  </r>
  <r>
    <x v="210"/>
    <x v="80"/>
    <x v="2"/>
    <x v="0"/>
    <x v="7"/>
    <x v="206"/>
    <x v="2"/>
    <x v="12"/>
    <n v="1310.1400000000001"/>
    <x v="210"/>
    <n v="3788.72"/>
    <n v="2761.98"/>
    <x v="2"/>
    <x v="2"/>
  </r>
  <r>
    <x v="211"/>
    <x v="154"/>
    <x v="3"/>
    <x v="1"/>
    <x v="1"/>
    <x v="207"/>
    <x v="1"/>
    <x v="2"/>
    <n v="1386.08"/>
    <x v="211"/>
    <n v="14897.11"/>
    <n v="5894.09"/>
    <x v="0"/>
    <x v="3"/>
  </r>
  <r>
    <x v="212"/>
    <x v="15"/>
    <x v="2"/>
    <x v="1"/>
    <x v="2"/>
    <x v="208"/>
    <x v="2"/>
    <x v="17"/>
    <n v="497.16"/>
    <x v="212"/>
    <n v="5669.31"/>
    <n v="793.77"/>
    <x v="0"/>
    <x v="2"/>
  </r>
  <r>
    <x v="213"/>
    <x v="155"/>
    <x v="2"/>
    <x v="2"/>
    <x v="8"/>
    <x v="209"/>
    <x v="2"/>
    <x v="2"/>
    <n v="1488.63"/>
    <x v="213"/>
    <n v="19863.97"/>
    <n v="2465.48"/>
    <x v="1"/>
    <x v="1"/>
  </r>
  <r>
    <x v="214"/>
    <x v="156"/>
    <x v="3"/>
    <x v="1"/>
    <x v="2"/>
    <x v="210"/>
    <x v="0"/>
    <x v="14"/>
    <n v="493.48"/>
    <x v="214"/>
    <n v="5367.09"/>
    <n v="4009.03"/>
    <x v="2"/>
    <x v="2"/>
  </r>
  <r>
    <x v="215"/>
    <x v="130"/>
    <x v="0"/>
    <x v="1"/>
    <x v="1"/>
    <x v="211"/>
    <x v="1"/>
    <x v="17"/>
    <n v="450.17"/>
    <x v="215"/>
    <n v="3598.34"/>
    <n v="2253.87"/>
    <x v="0"/>
    <x v="2"/>
  </r>
  <r>
    <x v="216"/>
    <x v="157"/>
    <x v="2"/>
    <x v="2"/>
    <x v="8"/>
    <x v="212"/>
    <x v="0"/>
    <x v="16"/>
    <n v="1113.78"/>
    <x v="216"/>
    <n v="17926.150000000001"/>
    <n v="4349.45"/>
    <x v="1"/>
    <x v="1"/>
  </r>
  <r>
    <x v="217"/>
    <x v="158"/>
    <x v="2"/>
    <x v="1"/>
    <x v="1"/>
    <x v="213"/>
    <x v="1"/>
    <x v="3"/>
    <n v="610"/>
    <x v="217"/>
    <n v="1516.83"/>
    <n v="313.17"/>
    <x v="1"/>
    <x v="0"/>
  </r>
  <r>
    <x v="218"/>
    <x v="159"/>
    <x v="1"/>
    <x v="0"/>
    <x v="0"/>
    <x v="214"/>
    <x v="2"/>
    <x v="17"/>
    <n v="354.99"/>
    <x v="218"/>
    <n v="3394.64"/>
    <n v="1220.23"/>
    <x v="0"/>
    <x v="3"/>
  </r>
  <r>
    <x v="219"/>
    <x v="160"/>
    <x v="3"/>
    <x v="0"/>
    <x v="0"/>
    <x v="215"/>
    <x v="2"/>
    <x v="10"/>
    <n v="55.45"/>
    <x v="219"/>
    <n v="80.97"/>
    <n v="29.93"/>
    <x v="0"/>
    <x v="3"/>
  </r>
  <r>
    <x v="220"/>
    <x v="125"/>
    <x v="1"/>
    <x v="1"/>
    <x v="1"/>
    <x v="216"/>
    <x v="3"/>
    <x v="14"/>
    <n v="540.30999999999995"/>
    <x v="220"/>
    <n v="7062.04"/>
    <n v="3203.85"/>
    <x v="0"/>
    <x v="2"/>
  </r>
  <r>
    <x v="221"/>
    <x v="161"/>
    <x v="2"/>
    <x v="1"/>
    <x v="2"/>
    <x v="217"/>
    <x v="5"/>
    <x v="12"/>
    <n v="353.64"/>
    <x v="221"/>
    <n v="1221.01"/>
    <n v="547.19000000000005"/>
    <x v="2"/>
    <x v="0"/>
  </r>
  <r>
    <x v="222"/>
    <x v="162"/>
    <x v="2"/>
    <x v="1"/>
    <x v="4"/>
    <x v="218"/>
    <x v="3"/>
    <x v="1"/>
    <n v="371.23"/>
    <x v="222"/>
    <n v="212.32"/>
    <n v="158.91"/>
    <x v="1"/>
    <x v="2"/>
  </r>
  <r>
    <x v="223"/>
    <x v="49"/>
    <x v="0"/>
    <x v="2"/>
    <x v="8"/>
    <x v="219"/>
    <x v="5"/>
    <x v="13"/>
    <n v="899.6"/>
    <x v="223"/>
    <n v="9561.31"/>
    <n v="5731.89"/>
    <x v="1"/>
    <x v="2"/>
  </r>
  <r>
    <x v="224"/>
    <x v="163"/>
    <x v="3"/>
    <x v="1"/>
    <x v="4"/>
    <x v="220"/>
    <x v="2"/>
    <x v="7"/>
    <n v="165.76"/>
    <x v="224"/>
    <n v="1311.3"/>
    <n v="180.54"/>
    <x v="1"/>
    <x v="0"/>
  </r>
  <r>
    <x v="225"/>
    <x v="164"/>
    <x v="3"/>
    <x v="0"/>
    <x v="5"/>
    <x v="221"/>
    <x v="3"/>
    <x v="10"/>
    <n v="648.01"/>
    <x v="225"/>
    <n v="667.74"/>
    <n v="628.28"/>
    <x v="0"/>
    <x v="2"/>
  </r>
  <r>
    <x v="226"/>
    <x v="112"/>
    <x v="3"/>
    <x v="1"/>
    <x v="1"/>
    <x v="222"/>
    <x v="4"/>
    <x v="8"/>
    <n v="894.85"/>
    <x v="226"/>
    <n v="7182.89"/>
    <n v="2660.46"/>
    <x v="2"/>
    <x v="0"/>
  </r>
  <r>
    <x v="227"/>
    <x v="165"/>
    <x v="1"/>
    <x v="2"/>
    <x v="8"/>
    <x v="223"/>
    <x v="3"/>
    <x v="7"/>
    <n v="725.85"/>
    <x v="227"/>
    <n v="4860.67"/>
    <n v="1671.98"/>
    <x v="0"/>
    <x v="0"/>
  </r>
  <r>
    <x v="228"/>
    <x v="166"/>
    <x v="0"/>
    <x v="1"/>
    <x v="4"/>
    <x v="224"/>
    <x v="5"/>
    <x v="19"/>
    <n v="467.49"/>
    <x v="228"/>
    <n v="2793.04"/>
    <n v="946.88"/>
    <x v="1"/>
    <x v="0"/>
  </r>
  <r>
    <x v="229"/>
    <x v="53"/>
    <x v="2"/>
    <x v="0"/>
    <x v="0"/>
    <x v="225"/>
    <x v="1"/>
    <x v="6"/>
    <n v="1239.47"/>
    <x v="229"/>
    <n v="13064.91"/>
    <n v="6766.61"/>
    <x v="1"/>
    <x v="3"/>
  </r>
  <r>
    <x v="230"/>
    <x v="167"/>
    <x v="1"/>
    <x v="0"/>
    <x v="0"/>
    <x v="226"/>
    <x v="2"/>
    <x v="15"/>
    <n v="785.25"/>
    <x v="230"/>
    <n v="2839.8"/>
    <n v="1871.7"/>
    <x v="2"/>
    <x v="0"/>
  </r>
  <r>
    <x v="231"/>
    <x v="168"/>
    <x v="1"/>
    <x v="2"/>
    <x v="8"/>
    <x v="227"/>
    <x v="0"/>
    <x v="13"/>
    <n v="1265.2"/>
    <x v="231"/>
    <n v="15306.38"/>
    <n v="6202.02"/>
    <x v="2"/>
    <x v="0"/>
  </r>
  <r>
    <x v="232"/>
    <x v="169"/>
    <x v="3"/>
    <x v="0"/>
    <x v="0"/>
    <x v="228"/>
    <x v="4"/>
    <x v="12"/>
    <n v="381.2"/>
    <x v="232"/>
    <n v="1304.45"/>
    <n v="601.54999999999995"/>
    <x v="0"/>
    <x v="2"/>
  </r>
  <r>
    <x v="233"/>
    <x v="170"/>
    <x v="2"/>
    <x v="0"/>
    <x v="7"/>
    <x v="229"/>
    <x v="4"/>
    <x v="1"/>
    <n v="958.37"/>
    <x v="233"/>
    <n v="815.64"/>
    <n v="142.72999999999999"/>
    <x v="0"/>
    <x v="3"/>
  </r>
  <r>
    <x v="234"/>
    <x v="171"/>
    <x v="0"/>
    <x v="1"/>
    <x v="2"/>
    <x v="230"/>
    <x v="2"/>
    <x v="19"/>
    <n v="1274.58"/>
    <x v="234"/>
    <n v="5834.12"/>
    <n v="4362.5200000000004"/>
    <x v="0"/>
    <x v="3"/>
  </r>
  <r>
    <x v="235"/>
    <x v="172"/>
    <x v="0"/>
    <x v="1"/>
    <x v="2"/>
    <x v="231"/>
    <x v="2"/>
    <x v="12"/>
    <n v="397.8"/>
    <x v="235"/>
    <n v="1378.58"/>
    <n v="610.41999999999996"/>
    <x v="1"/>
    <x v="1"/>
  </r>
  <r>
    <x v="236"/>
    <x v="173"/>
    <x v="3"/>
    <x v="0"/>
    <x v="7"/>
    <x v="232"/>
    <x v="1"/>
    <x v="13"/>
    <n v="117.67"/>
    <x v="236"/>
    <n v="1439.87"/>
    <n v="560.52"/>
    <x v="2"/>
    <x v="1"/>
  </r>
  <r>
    <x v="237"/>
    <x v="76"/>
    <x v="1"/>
    <x v="1"/>
    <x v="2"/>
    <x v="233"/>
    <x v="4"/>
    <x v="19"/>
    <n v="1247.3900000000001"/>
    <x v="237"/>
    <n v="5471.58"/>
    <n v="4507.54"/>
    <x v="0"/>
    <x v="1"/>
  </r>
  <r>
    <x v="238"/>
    <x v="97"/>
    <x v="3"/>
    <x v="1"/>
    <x v="1"/>
    <x v="234"/>
    <x v="4"/>
    <x v="0"/>
    <n v="60.46"/>
    <x v="238"/>
    <n v="588.72"/>
    <n v="136.80000000000001"/>
    <x v="0"/>
    <x v="0"/>
  </r>
  <r>
    <x v="239"/>
    <x v="89"/>
    <x v="0"/>
    <x v="2"/>
    <x v="8"/>
    <x v="235"/>
    <x v="4"/>
    <x v="6"/>
    <n v="632.42999999999995"/>
    <x v="239"/>
    <n v="6841.14"/>
    <n v="3277.74"/>
    <x v="1"/>
    <x v="1"/>
  </r>
  <r>
    <x v="240"/>
    <x v="72"/>
    <x v="0"/>
    <x v="0"/>
    <x v="7"/>
    <x v="236"/>
    <x v="0"/>
    <x v="12"/>
    <n v="1403.35"/>
    <x v="240"/>
    <n v="3629.43"/>
    <n v="3387.32"/>
    <x v="1"/>
    <x v="1"/>
  </r>
  <r>
    <x v="241"/>
    <x v="115"/>
    <x v="0"/>
    <x v="1"/>
    <x v="4"/>
    <x v="237"/>
    <x v="2"/>
    <x v="7"/>
    <n v="787.35"/>
    <x v="241"/>
    <n v="5143.16"/>
    <n v="1942.99"/>
    <x v="2"/>
    <x v="1"/>
  </r>
  <r>
    <x v="242"/>
    <x v="75"/>
    <x v="2"/>
    <x v="1"/>
    <x v="4"/>
    <x v="238"/>
    <x v="5"/>
    <x v="10"/>
    <n v="98.07"/>
    <x v="242"/>
    <n v="134.38999999999999"/>
    <n v="61.75"/>
    <x v="0"/>
    <x v="0"/>
  </r>
  <r>
    <x v="243"/>
    <x v="147"/>
    <x v="2"/>
    <x v="0"/>
    <x v="7"/>
    <x v="239"/>
    <x v="1"/>
    <x v="15"/>
    <n v="1413.07"/>
    <x v="243"/>
    <n v="5934.08"/>
    <n v="2544.34"/>
    <x v="2"/>
    <x v="1"/>
  </r>
  <r>
    <x v="244"/>
    <x v="174"/>
    <x v="0"/>
    <x v="2"/>
    <x v="3"/>
    <x v="240"/>
    <x v="4"/>
    <x v="13"/>
    <n v="435.55"/>
    <x v="244"/>
    <n v="4055.04"/>
    <n v="3349.31"/>
    <x v="1"/>
    <x v="2"/>
  </r>
  <r>
    <x v="245"/>
    <x v="71"/>
    <x v="3"/>
    <x v="0"/>
    <x v="7"/>
    <x v="241"/>
    <x v="2"/>
    <x v="14"/>
    <n v="844.25"/>
    <x v="245"/>
    <n v="10002.629999999999"/>
    <n v="6038.12"/>
    <x v="2"/>
    <x v="0"/>
  </r>
  <r>
    <x v="246"/>
    <x v="19"/>
    <x v="1"/>
    <x v="1"/>
    <x v="4"/>
    <x v="242"/>
    <x v="5"/>
    <x v="12"/>
    <n v="324.10000000000002"/>
    <x v="246"/>
    <n v="904.77"/>
    <n v="715.73"/>
    <x v="1"/>
    <x v="3"/>
  </r>
  <r>
    <x v="247"/>
    <x v="175"/>
    <x v="3"/>
    <x v="2"/>
    <x v="6"/>
    <x v="243"/>
    <x v="1"/>
    <x v="16"/>
    <n v="406.99"/>
    <x v="247"/>
    <n v="4968"/>
    <n v="3171.8"/>
    <x v="1"/>
    <x v="2"/>
  </r>
  <r>
    <x v="248"/>
    <x v="176"/>
    <x v="3"/>
    <x v="2"/>
    <x v="8"/>
    <x v="244"/>
    <x v="0"/>
    <x v="19"/>
    <n v="1428.83"/>
    <x v="248"/>
    <n v="9103.51"/>
    <n v="2327.13"/>
    <x v="2"/>
    <x v="2"/>
  </r>
  <r>
    <x v="249"/>
    <x v="177"/>
    <x v="0"/>
    <x v="2"/>
    <x v="8"/>
    <x v="245"/>
    <x v="0"/>
    <x v="12"/>
    <n v="977.05"/>
    <x v="249"/>
    <n v="4389.3999999999996"/>
    <n v="495.85"/>
    <x v="1"/>
    <x v="1"/>
  </r>
  <r>
    <x v="250"/>
    <x v="178"/>
    <x v="3"/>
    <x v="1"/>
    <x v="4"/>
    <x v="246"/>
    <x v="0"/>
    <x v="15"/>
    <n v="149.02000000000001"/>
    <x v="250"/>
    <n v="684.78"/>
    <n v="209.34"/>
    <x v="1"/>
    <x v="3"/>
  </r>
  <r>
    <x v="251"/>
    <x v="116"/>
    <x v="2"/>
    <x v="2"/>
    <x v="8"/>
    <x v="247"/>
    <x v="0"/>
    <x v="5"/>
    <n v="652.27"/>
    <x v="251"/>
    <n v="1326.53"/>
    <n v="1282.55"/>
    <x v="1"/>
    <x v="2"/>
  </r>
  <r>
    <x v="252"/>
    <x v="179"/>
    <x v="0"/>
    <x v="1"/>
    <x v="1"/>
    <x v="248"/>
    <x v="1"/>
    <x v="8"/>
    <n v="96.33"/>
    <x v="252"/>
    <n v="749.96"/>
    <n v="309.67"/>
    <x v="2"/>
    <x v="1"/>
  </r>
  <r>
    <x v="253"/>
    <x v="180"/>
    <x v="2"/>
    <x v="0"/>
    <x v="7"/>
    <x v="249"/>
    <x v="5"/>
    <x v="14"/>
    <n v="1032.02"/>
    <x v="253"/>
    <n v="10485.58"/>
    <n v="9122.7999999999993"/>
    <x v="1"/>
    <x v="1"/>
  </r>
  <r>
    <x v="254"/>
    <x v="20"/>
    <x v="2"/>
    <x v="1"/>
    <x v="2"/>
    <x v="250"/>
    <x v="3"/>
    <x v="19"/>
    <n v="1018.58"/>
    <x v="254"/>
    <n v="5131.63"/>
    <n v="3017.01"/>
    <x v="2"/>
    <x v="1"/>
  </r>
  <r>
    <x v="255"/>
    <x v="180"/>
    <x v="3"/>
    <x v="0"/>
    <x v="5"/>
    <x v="251"/>
    <x v="1"/>
    <x v="11"/>
    <n v="1269.97"/>
    <x v="255"/>
    <n v="12425.33"/>
    <n v="5354.25"/>
    <x v="2"/>
    <x v="2"/>
  </r>
  <r>
    <x v="256"/>
    <x v="114"/>
    <x v="2"/>
    <x v="0"/>
    <x v="5"/>
    <x v="252"/>
    <x v="1"/>
    <x v="18"/>
    <n v="958.98"/>
    <x v="256"/>
    <n v="9799.82"/>
    <n v="7461.82"/>
    <x v="0"/>
    <x v="0"/>
  </r>
  <r>
    <x v="257"/>
    <x v="87"/>
    <x v="0"/>
    <x v="1"/>
    <x v="2"/>
    <x v="253"/>
    <x v="2"/>
    <x v="2"/>
    <n v="323.89"/>
    <x v="257"/>
    <n v="2680.7"/>
    <n v="2177.65"/>
    <x v="1"/>
    <x v="2"/>
  </r>
  <r>
    <x v="258"/>
    <x v="181"/>
    <x v="2"/>
    <x v="1"/>
    <x v="2"/>
    <x v="254"/>
    <x v="4"/>
    <x v="9"/>
    <n v="319.33999999999997"/>
    <x v="258"/>
    <n v="2214.42"/>
    <n v="978.98"/>
    <x v="1"/>
    <x v="0"/>
  </r>
  <r>
    <x v="259"/>
    <x v="12"/>
    <x v="0"/>
    <x v="0"/>
    <x v="7"/>
    <x v="255"/>
    <x v="2"/>
    <x v="8"/>
    <n v="290.38"/>
    <x v="259"/>
    <n v="2157.65"/>
    <n v="1036.53"/>
    <x v="1"/>
    <x v="1"/>
  </r>
  <r>
    <x v="260"/>
    <x v="182"/>
    <x v="1"/>
    <x v="1"/>
    <x v="2"/>
    <x v="256"/>
    <x v="2"/>
    <x v="5"/>
    <n v="191.33"/>
    <x v="260"/>
    <n v="602.98"/>
    <n v="162.34"/>
    <x v="1"/>
    <x v="1"/>
  </r>
  <r>
    <x v="261"/>
    <x v="183"/>
    <x v="1"/>
    <x v="2"/>
    <x v="6"/>
    <x v="257"/>
    <x v="0"/>
    <x v="10"/>
    <n v="638.55999999999995"/>
    <x v="261"/>
    <n v="805.62"/>
    <n v="471.5"/>
    <x v="0"/>
    <x v="3"/>
  </r>
  <r>
    <x v="262"/>
    <x v="184"/>
    <x v="2"/>
    <x v="1"/>
    <x v="4"/>
    <x v="258"/>
    <x v="3"/>
    <x v="6"/>
    <n v="1176.99"/>
    <x v="262"/>
    <n v="9830.5300000000007"/>
    <n v="9001.31"/>
    <x v="1"/>
    <x v="1"/>
  </r>
  <r>
    <x v="263"/>
    <x v="26"/>
    <x v="3"/>
    <x v="0"/>
    <x v="7"/>
    <x v="259"/>
    <x v="3"/>
    <x v="2"/>
    <n v="782.01"/>
    <x v="263"/>
    <n v="6198.23"/>
    <n v="5531.92"/>
    <x v="2"/>
    <x v="3"/>
  </r>
  <r>
    <x v="264"/>
    <x v="132"/>
    <x v="0"/>
    <x v="0"/>
    <x v="5"/>
    <x v="260"/>
    <x v="4"/>
    <x v="7"/>
    <n v="1412.13"/>
    <x v="264"/>
    <n v="9424"/>
    <n v="3285.17"/>
    <x v="0"/>
    <x v="0"/>
  </r>
  <r>
    <x v="265"/>
    <x v="156"/>
    <x v="3"/>
    <x v="0"/>
    <x v="7"/>
    <x v="261"/>
    <x v="1"/>
    <x v="19"/>
    <n v="534.36"/>
    <x v="265"/>
    <n v="3273.8"/>
    <n v="1001.08"/>
    <x v="1"/>
    <x v="3"/>
  </r>
  <r>
    <x v="266"/>
    <x v="185"/>
    <x v="1"/>
    <x v="1"/>
    <x v="2"/>
    <x v="262"/>
    <x v="2"/>
    <x v="5"/>
    <n v="1477.19"/>
    <x v="266"/>
    <n v="4580.9399999999996"/>
    <n v="1327.82"/>
    <x v="1"/>
    <x v="3"/>
  </r>
  <r>
    <x v="267"/>
    <x v="44"/>
    <x v="3"/>
    <x v="1"/>
    <x v="2"/>
    <x v="106"/>
    <x v="1"/>
    <x v="8"/>
    <n v="793.95"/>
    <x v="267"/>
    <n v="5440.85"/>
    <n v="3292.6"/>
    <x v="1"/>
    <x v="1"/>
  </r>
  <r>
    <x v="268"/>
    <x v="37"/>
    <x v="3"/>
    <x v="1"/>
    <x v="2"/>
    <x v="263"/>
    <x v="0"/>
    <x v="18"/>
    <n v="217.51"/>
    <x v="268"/>
    <n v="2123.94"/>
    <n v="1791.24"/>
    <x v="0"/>
    <x v="2"/>
  </r>
  <r>
    <x v="269"/>
    <x v="186"/>
    <x v="1"/>
    <x v="0"/>
    <x v="0"/>
    <x v="264"/>
    <x v="4"/>
    <x v="17"/>
    <n v="1387.37"/>
    <x v="269"/>
    <n v="15517.58"/>
    <n v="2518.23"/>
    <x v="2"/>
    <x v="2"/>
  </r>
  <r>
    <x v="270"/>
    <x v="187"/>
    <x v="1"/>
    <x v="0"/>
    <x v="7"/>
    <x v="265"/>
    <x v="4"/>
    <x v="19"/>
    <n v="1304.1300000000001"/>
    <x v="270"/>
    <n v="9352.4500000000007"/>
    <n v="1080.5899999999999"/>
    <x v="1"/>
    <x v="1"/>
  </r>
  <r>
    <x v="271"/>
    <x v="106"/>
    <x v="0"/>
    <x v="0"/>
    <x v="0"/>
    <x v="266"/>
    <x v="0"/>
    <x v="5"/>
    <n v="1194.6099999999999"/>
    <x v="271"/>
    <n v="3514.73"/>
    <n v="1263.71"/>
    <x v="0"/>
    <x v="0"/>
  </r>
  <r>
    <x v="272"/>
    <x v="188"/>
    <x v="3"/>
    <x v="0"/>
    <x v="0"/>
    <x v="267"/>
    <x v="4"/>
    <x v="0"/>
    <n v="244.22"/>
    <x v="272"/>
    <n v="2396.37"/>
    <n v="534.27"/>
    <x v="2"/>
    <x v="2"/>
  </r>
  <r>
    <x v="273"/>
    <x v="178"/>
    <x v="1"/>
    <x v="1"/>
    <x v="4"/>
    <x v="268"/>
    <x v="3"/>
    <x v="3"/>
    <n v="394.49"/>
    <x v="273"/>
    <n v="1011.15"/>
    <n v="172.32"/>
    <x v="0"/>
    <x v="1"/>
  </r>
  <r>
    <x v="274"/>
    <x v="160"/>
    <x v="0"/>
    <x v="1"/>
    <x v="2"/>
    <x v="269"/>
    <x v="0"/>
    <x v="3"/>
    <n v="1235.08"/>
    <x v="274"/>
    <n v="2383.7199999999998"/>
    <n v="1321.52"/>
    <x v="0"/>
    <x v="1"/>
  </r>
  <r>
    <x v="275"/>
    <x v="189"/>
    <x v="1"/>
    <x v="0"/>
    <x v="7"/>
    <x v="270"/>
    <x v="1"/>
    <x v="1"/>
    <n v="354.14"/>
    <x v="275"/>
    <n v="274.56"/>
    <n v="79.58"/>
    <x v="0"/>
    <x v="1"/>
  </r>
  <r>
    <x v="276"/>
    <x v="83"/>
    <x v="0"/>
    <x v="2"/>
    <x v="3"/>
    <x v="271"/>
    <x v="5"/>
    <x v="18"/>
    <n v="933.11"/>
    <x v="276"/>
    <n v="14247.7"/>
    <n v="2548.2800000000002"/>
    <x v="1"/>
    <x v="0"/>
  </r>
  <r>
    <x v="277"/>
    <x v="190"/>
    <x v="0"/>
    <x v="2"/>
    <x v="3"/>
    <x v="272"/>
    <x v="1"/>
    <x v="2"/>
    <n v="668.76"/>
    <x v="277"/>
    <n v="5404.06"/>
    <n v="4627.34"/>
    <x v="0"/>
    <x v="1"/>
  </r>
  <r>
    <x v="278"/>
    <x v="191"/>
    <x v="1"/>
    <x v="0"/>
    <x v="0"/>
    <x v="273"/>
    <x v="0"/>
    <x v="1"/>
    <n v="748.54"/>
    <x v="278"/>
    <n v="575.74"/>
    <n v="172.8"/>
    <x v="0"/>
    <x v="3"/>
  </r>
  <r>
    <x v="279"/>
    <x v="192"/>
    <x v="3"/>
    <x v="0"/>
    <x v="5"/>
    <x v="274"/>
    <x v="3"/>
    <x v="9"/>
    <n v="972.56"/>
    <x v="279"/>
    <n v="8368.02"/>
    <n v="1357.58"/>
    <x v="2"/>
    <x v="3"/>
  </r>
  <r>
    <x v="280"/>
    <x v="24"/>
    <x v="2"/>
    <x v="2"/>
    <x v="8"/>
    <x v="275"/>
    <x v="3"/>
    <x v="6"/>
    <n v="1230.1600000000001"/>
    <x v="280"/>
    <n v="17046.650000000001"/>
    <n v="2635.91"/>
    <x v="1"/>
    <x v="2"/>
  </r>
  <r>
    <x v="281"/>
    <x v="179"/>
    <x v="2"/>
    <x v="0"/>
    <x v="0"/>
    <x v="276"/>
    <x v="2"/>
    <x v="0"/>
    <n v="568.35"/>
    <x v="281"/>
    <n v="5982.32"/>
    <n v="837.88"/>
    <x v="2"/>
    <x v="0"/>
  </r>
  <r>
    <x v="282"/>
    <x v="40"/>
    <x v="0"/>
    <x v="0"/>
    <x v="5"/>
    <x v="277"/>
    <x v="3"/>
    <x v="14"/>
    <n v="1314.83"/>
    <x v="282"/>
    <n v="14979.81"/>
    <n v="10001.959999999999"/>
    <x v="1"/>
    <x v="3"/>
  </r>
  <r>
    <x v="283"/>
    <x v="98"/>
    <x v="3"/>
    <x v="1"/>
    <x v="2"/>
    <x v="278"/>
    <x v="5"/>
    <x v="11"/>
    <n v="570.83000000000004"/>
    <x v="283"/>
    <n v="5487.42"/>
    <n v="2504.1999999999998"/>
    <x v="2"/>
    <x v="1"/>
  </r>
  <r>
    <x v="284"/>
    <x v="37"/>
    <x v="0"/>
    <x v="0"/>
    <x v="5"/>
    <x v="279"/>
    <x v="3"/>
    <x v="18"/>
    <n v="1288.06"/>
    <x v="284"/>
    <n v="14706.38"/>
    <n v="8478.7000000000007"/>
    <x v="2"/>
    <x v="2"/>
  </r>
  <r>
    <x v="285"/>
    <x v="193"/>
    <x v="3"/>
    <x v="1"/>
    <x v="4"/>
    <x v="280"/>
    <x v="0"/>
    <x v="11"/>
    <n v="835.04"/>
    <x v="285"/>
    <n v="7958.97"/>
    <n v="3731.59"/>
    <x v="2"/>
    <x v="3"/>
  </r>
  <r>
    <x v="286"/>
    <x v="194"/>
    <x v="0"/>
    <x v="0"/>
    <x v="0"/>
    <x v="281"/>
    <x v="4"/>
    <x v="12"/>
    <n v="1237.03"/>
    <x v="286"/>
    <n v="4934.2"/>
    <n v="1250.95"/>
    <x v="0"/>
    <x v="3"/>
  </r>
  <r>
    <x v="287"/>
    <x v="195"/>
    <x v="3"/>
    <x v="0"/>
    <x v="0"/>
    <x v="282"/>
    <x v="1"/>
    <x v="11"/>
    <n v="1087.26"/>
    <x v="287"/>
    <n v="10044.69"/>
    <n v="5176.95"/>
    <x v="2"/>
    <x v="2"/>
  </r>
  <r>
    <x v="288"/>
    <x v="61"/>
    <x v="3"/>
    <x v="2"/>
    <x v="6"/>
    <x v="283"/>
    <x v="4"/>
    <x v="12"/>
    <n v="676.1"/>
    <x v="288"/>
    <n v="2636.18"/>
    <n v="744.32"/>
    <x v="0"/>
    <x v="1"/>
  </r>
  <r>
    <x v="289"/>
    <x v="69"/>
    <x v="3"/>
    <x v="2"/>
    <x v="6"/>
    <x v="284"/>
    <x v="3"/>
    <x v="1"/>
    <n v="136.56"/>
    <x v="289"/>
    <n v="111.15"/>
    <n v="25.41"/>
    <x v="0"/>
    <x v="1"/>
  </r>
  <r>
    <x v="290"/>
    <x v="196"/>
    <x v="3"/>
    <x v="1"/>
    <x v="4"/>
    <x v="285"/>
    <x v="1"/>
    <x v="2"/>
    <n v="923.42"/>
    <x v="290"/>
    <n v="10556.62"/>
    <n v="3294.68"/>
    <x v="2"/>
    <x v="0"/>
  </r>
  <r>
    <x v="291"/>
    <x v="46"/>
    <x v="3"/>
    <x v="0"/>
    <x v="5"/>
    <x v="286"/>
    <x v="3"/>
    <x v="12"/>
    <n v="535.82000000000005"/>
    <x v="291"/>
    <n v="2368.67"/>
    <n v="310.43"/>
    <x v="1"/>
    <x v="0"/>
  </r>
  <r>
    <x v="292"/>
    <x v="56"/>
    <x v="0"/>
    <x v="0"/>
    <x v="7"/>
    <x v="287"/>
    <x v="4"/>
    <x v="6"/>
    <n v="987.4"/>
    <x v="292"/>
    <n v="11564.16"/>
    <n v="4234.24"/>
    <x v="0"/>
    <x v="3"/>
  </r>
  <r>
    <x v="293"/>
    <x v="121"/>
    <x v="2"/>
    <x v="2"/>
    <x v="6"/>
    <x v="288"/>
    <x v="3"/>
    <x v="16"/>
    <n v="1129.8399999999999"/>
    <x v="293"/>
    <n v="14382.31"/>
    <n v="8214.49"/>
    <x v="1"/>
    <x v="1"/>
  </r>
  <r>
    <x v="294"/>
    <x v="101"/>
    <x v="1"/>
    <x v="1"/>
    <x v="4"/>
    <x v="289"/>
    <x v="5"/>
    <x v="0"/>
    <n v="620.41"/>
    <x v="294"/>
    <n v="5189.9399999999996"/>
    <n v="2254.98"/>
    <x v="1"/>
    <x v="1"/>
  </r>
  <r>
    <x v="295"/>
    <x v="197"/>
    <x v="1"/>
    <x v="2"/>
    <x v="3"/>
    <x v="290"/>
    <x v="1"/>
    <x v="9"/>
    <n v="1481.11"/>
    <x v="295"/>
    <n v="11910.96"/>
    <n v="2900.14"/>
    <x v="0"/>
    <x v="3"/>
  </r>
  <r>
    <x v="296"/>
    <x v="198"/>
    <x v="3"/>
    <x v="0"/>
    <x v="5"/>
    <x v="291"/>
    <x v="0"/>
    <x v="1"/>
    <n v="757.47"/>
    <x v="296"/>
    <n v="645.64"/>
    <n v="111.83"/>
    <x v="2"/>
    <x v="2"/>
  </r>
  <r>
    <x v="297"/>
    <x v="195"/>
    <x v="3"/>
    <x v="0"/>
    <x v="0"/>
    <x v="292"/>
    <x v="4"/>
    <x v="8"/>
    <n v="1129.46"/>
    <x v="297"/>
    <n v="9648.7900000000009"/>
    <n v="2775.27"/>
    <x v="0"/>
    <x v="3"/>
  </r>
  <r>
    <x v="298"/>
    <x v="124"/>
    <x v="0"/>
    <x v="2"/>
    <x v="8"/>
    <x v="293"/>
    <x v="2"/>
    <x v="5"/>
    <n v="1271.78"/>
    <x v="298"/>
    <n v="3116.63"/>
    <n v="1970.49"/>
    <x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87A386-41E5-40E5-8E79-6C85453AE23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20:B25" firstHeaderRow="1" firstDataRow="1" firstDataCol="1"/>
  <pivotFields count="16">
    <pivotField showAll="0"/>
    <pivotField numFmtId="14" showAll="0">
      <items count="200">
        <item x="165"/>
        <item x="107"/>
        <item x="34"/>
        <item x="167"/>
        <item x="150"/>
        <item x="83"/>
        <item x="172"/>
        <item x="71"/>
        <item x="162"/>
        <item x="186"/>
        <item x="60"/>
        <item x="1"/>
        <item x="43"/>
        <item x="168"/>
        <item x="86"/>
        <item x="85"/>
        <item x="2"/>
        <item x="42"/>
        <item x="77"/>
        <item x="130"/>
        <item x="90"/>
        <item x="32"/>
        <item x="178"/>
        <item x="59"/>
        <item x="16"/>
        <item x="5"/>
        <item x="184"/>
        <item x="156"/>
        <item x="114"/>
        <item x="29"/>
        <item x="73"/>
        <item x="36"/>
        <item x="17"/>
        <item x="123"/>
        <item x="9"/>
        <item x="93"/>
        <item x="161"/>
        <item x="52"/>
        <item x="33"/>
        <item x="97"/>
        <item x="180"/>
        <item x="122"/>
        <item x="35"/>
        <item x="6"/>
        <item x="96"/>
        <item x="160"/>
        <item x="45"/>
        <item x="138"/>
        <item x="121"/>
        <item x="13"/>
        <item x="110"/>
        <item x="163"/>
        <item x="171"/>
        <item x="98"/>
        <item x="24"/>
        <item x="81"/>
        <item x="88"/>
        <item x="89"/>
        <item x="12"/>
        <item x="175"/>
        <item x="10"/>
        <item x="152"/>
        <item x="25"/>
        <item x="79"/>
        <item x="111"/>
        <item x="117"/>
        <item x="198"/>
        <item x="19"/>
        <item x="174"/>
        <item x="0"/>
        <item x="75"/>
        <item x="40"/>
        <item x="31"/>
        <item x="141"/>
        <item x="37"/>
        <item x="119"/>
        <item x="170"/>
        <item x="101"/>
        <item x="63"/>
        <item x="78"/>
        <item x="4"/>
        <item x="192"/>
        <item x="56"/>
        <item x="87"/>
        <item x="146"/>
        <item x="118"/>
        <item x="113"/>
        <item x="57"/>
        <item x="116"/>
        <item x="84"/>
        <item x="50"/>
        <item x="15"/>
        <item x="157"/>
        <item x="131"/>
        <item x="8"/>
        <item x="126"/>
        <item x="189"/>
        <item x="104"/>
        <item x="91"/>
        <item x="154"/>
        <item x="193"/>
        <item x="144"/>
        <item x="62"/>
        <item x="92"/>
        <item x="39"/>
        <item x="66"/>
        <item x="190"/>
        <item x="82"/>
        <item x="100"/>
        <item x="55"/>
        <item x="164"/>
        <item x="132"/>
        <item x="143"/>
        <item x="46"/>
        <item x="149"/>
        <item x="3"/>
        <item x="176"/>
        <item x="106"/>
        <item x="14"/>
        <item x="68"/>
        <item x="102"/>
        <item x="191"/>
        <item x="196"/>
        <item x="22"/>
        <item x="151"/>
        <item x="133"/>
        <item x="120"/>
        <item x="148"/>
        <item x="197"/>
        <item x="64"/>
        <item x="124"/>
        <item x="94"/>
        <item x="69"/>
        <item x="26"/>
        <item x="99"/>
        <item x="65"/>
        <item x="173"/>
        <item x="155"/>
        <item x="105"/>
        <item x="147"/>
        <item x="72"/>
        <item x="153"/>
        <item x="177"/>
        <item x="48"/>
        <item x="159"/>
        <item x="21"/>
        <item x="169"/>
        <item x="44"/>
        <item x="11"/>
        <item x="28"/>
        <item x="38"/>
        <item x="95"/>
        <item x="41"/>
        <item x="136"/>
        <item x="115"/>
        <item x="80"/>
        <item x="140"/>
        <item x="108"/>
        <item x="109"/>
        <item x="103"/>
        <item x="49"/>
        <item x="74"/>
        <item x="127"/>
        <item x="23"/>
        <item x="27"/>
        <item x="53"/>
        <item x="187"/>
        <item x="195"/>
        <item x="70"/>
        <item x="18"/>
        <item x="188"/>
        <item x="179"/>
        <item x="183"/>
        <item x="139"/>
        <item x="145"/>
        <item x="67"/>
        <item x="142"/>
        <item x="134"/>
        <item x="166"/>
        <item x="7"/>
        <item x="30"/>
        <item x="20"/>
        <item x="135"/>
        <item x="181"/>
        <item x="58"/>
        <item x="47"/>
        <item x="194"/>
        <item x="182"/>
        <item x="61"/>
        <item x="51"/>
        <item x="54"/>
        <item x="137"/>
        <item x="76"/>
        <item x="125"/>
        <item x="128"/>
        <item x="158"/>
        <item x="112"/>
        <item x="129"/>
        <item x="185"/>
        <item t="default"/>
      </items>
    </pivotField>
    <pivotField showAll="0">
      <items count="5">
        <item x="0"/>
        <item x="3"/>
        <item x="2"/>
        <item x="1"/>
        <item t="default"/>
      </items>
    </pivotField>
    <pivotField showAll="0">
      <items count="4">
        <item x="2"/>
        <item x="1"/>
        <item x="0"/>
        <item t="default"/>
      </items>
    </pivotField>
    <pivotField showAll="0">
      <items count="10">
        <item x="1"/>
        <item x="4"/>
        <item x="8"/>
        <item x="3"/>
        <item x="5"/>
        <item x="0"/>
        <item x="6"/>
        <item x="7"/>
        <item x="2"/>
        <item t="default"/>
      </items>
    </pivotField>
    <pivotField showAll="0">
      <items count="295">
        <item x="89"/>
        <item x="216"/>
        <item x="27"/>
        <item x="90"/>
        <item x="69"/>
        <item x="180"/>
        <item x="205"/>
        <item x="130"/>
        <item x="104"/>
        <item x="222"/>
        <item x="83"/>
        <item x="138"/>
        <item x="1"/>
        <item x="75"/>
        <item x="3"/>
        <item x="2"/>
        <item x="207"/>
        <item x="234"/>
        <item x="211"/>
        <item x="100"/>
        <item x="248"/>
        <item x="32"/>
        <item x="160"/>
        <item x="46"/>
        <item x="171"/>
        <item x="213"/>
        <item x="6"/>
        <item x="242"/>
        <item x="112"/>
        <item x="115"/>
        <item x="280"/>
        <item x="220"/>
        <item x="52"/>
        <item x="108"/>
        <item x="107"/>
        <item x="97"/>
        <item x="237"/>
        <item x="246"/>
        <item x="19"/>
        <item x="194"/>
        <item x="81"/>
        <item x="93"/>
        <item x="135"/>
        <item x="258"/>
        <item x="289"/>
        <item x="127"/>
        <item x="92"/>
        <item x="143"/>
        <item x="60"/>
        <item x="238"/>
        <item x="65"/>
        <item x="34"/>
        <item x="179"/>
        <item x="10"/>
        <item x="18"/>
        <item x="224"/>
        <item x="285"/>
        <item x="22"/>
        <item x="268"/>
        <item x="218"/>
        <item x="94"/>
        <item x="99"/>
        <item x="219"/>
        <item x="223"/>
        <item x="162"/>
        <item x="140"/>
        <item x="189"/>
        <item x="212"/>
        <item x="129"/>
        <item x="275"/>
        <item x="36"/>
        <item x="293"/>
        <item x="151"/>
        <item x="191"/>
        <item x="169"/>
        <item x="235"/>
        <item x="244"/>
        <item x="133"/>
        <item x="96"/>
        <item x="164"/>
        <item x="227"/>
        <item x="153"/>
        <item x="209"/>
        <item x="126"/>
        <item x="79"/>
        <item x="247"/>
        <item x="158"/>
        <item x="245"/>
        <item x="31"/>
        <item x="110"/>
        <item x="272"/>
        <item x="195"/>
        <item x="142"/>
        <item x="58"/>
        <item x="147"/>
        <item x="161"/>
        <item x="54"/>
        <item x="290"/>
        <item x="124"/>
        <item x="165"/>
        <item x="105"/>
        <item x="137"/>
        <item x="193"/>
        <item x="166"/>
        <item x="76"/>
        <item x="5"/>
        <item x="204"/>
        <item x="271"/>
        <item x="9"/>
        <item x="47"/>
        <item x="109"/>
        <item x="119"/>
        <item x="149"/>
        <item x="70"/>
        <item x="154"/>
        <item x="85"/>
        <item x="240"/>
        <item x="155"/>
        <item x="71"/>
        <item x="197"/>
        <item x="30"/>
        <item x="66"/>
        <item x="181"/>
        <item x="132"/>
        <item x="190"/>
        <item x="176"/>
        <item x="156"/>
        <item x="260"/>
        <item x="86"/>
        <item x="56"/>
        <item x="74"/>
        <item x="8"/>
        <item x="172"/>
        <item x="73"/>
        <item x="167"/>
        <item x="252"/>
        <item x="202"/>
        <item x="221"/>
        <item x="279"/>
        <item x="198"/>
        <item x="251"/>
        <item x="7"/>
        <item x="42"/>
        <item x="48"/>
        <item x="286"/>
        <item x="274"/>
        <item x="13"/>
        <item x="72"/>
        <item x="51"/>
        <item x="45"/>
        <item x="33"/>
        <item x="277"/>
        <item x="173"/>
        <item x="114"/>
        <item x="201"/>
        <item x="291"/>
        <item x="111"/>
        <item x="11"/>
        <item x="174"/>
        <item x="183"/>
        <item x="276"/>
        <item x="91"/>
        <item x="59"/>
        <item x="159"/>
        <item x="267"/>
        <item x="40"/>
        <item x="292"/>
        <item x="16"/>
        <item x="145"/>
        <item x="49"/>
        <item x="84"/>
        <item x="266"/>
        <item x="228"/>
        <item x="144"/>
        <item x="281"/>
        <item x="214"/>
        <item x="87"/>
        <item x="95"/>
        <item x="62"/>
        <item x="82"/>
        <item x="215"/>
        <item x="175"/>
        <item x="185"/>
        <item x="282"/>
        <item x="264"/>
        <item x="226"/>
        <item x="177"/>
        <item x="273"/>
        <item x="225"/>
        <item x="0"/>
        <item x="12"/>
        <item x="157"/>
        <item x="186"/>
        <item x="98"/>
        <item x="38"/>
        <item x="55"/>
        <item x="50"/>
        <item x="24"/>
        <item x="23"/>
        <item x="120"/>
        <item x="128"/>
        <item x="68"/>
        <item x="257"/>
        <item x="283"/>
        <item x="77"/>
        <item x="168"/>
        <item x="150"/>
        <item x="203"/>
        <item x="131"/>
        <item x="284"/>
        <item x="184"/>
        <item x="243"/>
        <item x="288"/>
        <item x="64"/>
        <item x="125"/>
        <item x="192"/>
        <item x="122"/>
        <item x="14"/>
        <item x="53"/>
        <item x="200"/>
        <item x="249"/>
        <item x="178"/>
        <item x="118"/>
        <item x="196"/>
        <item x="287"/>
        <item x="239"/>
        <item x="148"/>
        <item x="61"/>
        <item x="25"/>
        <item x="265"/>
        <item x="255"/>
        <item x="21"/>
        <item x="102"/>
        <item x="259"/>
        <item x="199"/>
        <item x="152"/>
        <item x="236"/>
        <item x="103"/>
        <item x="63"/>
        <item x="20"/>
        <item x="187"/>
        <item x="57"/>
        <item x="261"/>
        <item x="37"/>
        <item x="270"/>
        <item x="232"/>
        <item x="241"/>
        <item x="229"/>
        <item x="121"/>
        <item x="206"/>
        <item x="123"/>
        <item x="41"/>
        <item x="188"/>
        <item x="17"/>
        <item x="141"/>
        <item x="26"/>
        <item x="15"/>
        <item x="139"/>
        <item x="208"/>
        <item x="43"/>
        <item x="35"/>
        <item x="44"/>
        <item x="113"/>
        <item x="217"/>
        <item x="254"/>
        <item x="78"/>
        <item x="182"/>
        <item x="39"/>
        <item x="117"/>
        <item x="210"/>
        <item x="146"/>
        <item x="106"/>
        <item x="136"/>
        <item x="4"/>
        <item x="29"/>
        <item x="88"/>
        <item x="163"/>
        <item x="230"/>
        <item x="80"/>
        <item x="278"/>
        <item x="231"/>
        <item x="269"/>
        <item x="170"/>
        <item x="101"/>
        <item x="233"/>
        <item x="28"/>
        <item x="262"/>
        <item x="134"/>
        <item x="116"/>
        <item x="250"/>
        <item x="263"/>
        <item x="256"/>
        <item x="253"/>
        <item x="67"/>
        <item t="default"/>
      </items>
    </pivotField>
    <pivotField showAll="0">
      <items count="7">
        <item x="0"/>
        <item x="3"/>
        <item x="1"/>
        <item x="5"/>
        <item x="2"/>
        <item x="4"/>
        <item t="default"/>
      </items>
    </pivotField>
    <pivotField showAll="0"/>
    <pivotField showAll="0"/>
    <pivotField showAll="0"/>
    <pivotField showAll="0"/>
    <pivotField showAll="0"/>
    <pivotField dataField="1" showAll="0">
      <items count="4">
        <item x="2"/>
        <item x="1"/>
        <item x="0"/>
        <item t="default"/>
      </items>
    </pivotField>
    <pivotField axis="axisRow" showAll="0">
      <items count="5">
        <item x="3"/>
        <item x="1"/>
        <item x="2"/>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h="1" x="1"/>
        <item x="2"/>
        <item h="1" x="3"/>
        <item h="1" x="4"/>
        <item h="1" x="5"/>
        <item h="1" x="6"/>
        <item h="1" x="7"/>
        <item h="1" x="8"/>
        <item h="1" x="9"/>
        <item h="1" x="10"/>
        <item h="1" x="11"/>
        <item h="1" x="12"/>
        <item h="1" x="13"/>
        <item t="default"/>
      </items>
    </pivotField>
  </pivotFields>
  <rowFields count="1">
    <field x="13"/>
  </rowFields>
  <rowItems count="5">
    <i>
      <x/>
    </i>
    <i>
      <x v="1"/>
    </i>
    <i>
      <x v="2"/>
    </i>
    <i>
      <x v="3"/>
    </i>
    <i t="grand">
      <x/>
    </i>
  </rowItems>
  <colItems count="1">
    <i/>
  </colItems>
  <dataFields count="1">
    <dataField name="Count of CustomerType" fld="12" subtotal="count" baseField="0" baseItem="0"/>
  </dataFields>
  <chartFormats count="15">
    <chartFormat chart="0" format="2" series="1">
      <pivotArea type="data" outline="0" fieldPosition="0">
        <references count="1">
          <reference field="4294967294" count="1" selected="0">
            <x v="0"/>
          </reference>
        </references>
      </pivotArea>
    </chartFormat>
    <chartFormat chart="8" format="9" series="1">
      <pivotArea type="data" outline="0" fieldPosition="0">
        <references count="1">
          <reference field="4294967294" count="1" selected="0">
            <x v="0"/>
          </reference>
        </references>
      </pivotArea>
    </chartFormat>
    <chartFormat chart="8" format="10">
      <pivotArea type="data" outline="0" fieldPosition="0">
        <references count="2">
          <reference field="4294967294" count="1" selected="0">
            <x v="0"/>
          </reference>
          <reference field="13" count="1" selected="0">
            <x v="0"/>
          </reference>
        </references>
      </pivotArea>
    </chartFormat>
    <chartFormat chart="8" format="11">
      <pivotArea type="data" outline="0" fieldPosition="0">
        <references count="2">
          <reference field="4294967294" count="1" selected="0">
            <x v="0"/>
          </reference>
          <reference field="13" count="1" selected="0">
            <x v="1"/>
          </reference>
        </references>
      </pivotArea>
    </chartFormat>
    <chartFormat chart="8" format="12">
      <pivotArea type="data" outline="0" fieldPosition="0">
        <references count="2">
          <reference field="4294967294" count="1" selected="0">
            <x v="0"/>
          </reference>
          <reference field="13" count="1" selected="0">
            <x v="2"/>
          </reference>
        </references>
      </pivotArea>
    </chartFormat>
    <chartFormat chart="8" format="13">
      <pivotArea type="data" outline="0" fieldPosition="0">
        <references count="2">
          <reference field="4294967294" count="1" selected="0">
            <x v="0"/>
          </reference>
          <reference field="13" count="1" selected="0">
            <x v="3"/>
          </reference>
        </references>
      </pivotArea>
    </chartFormat>
    <chartFormat chart="0" format="4">
      <pivotArea type="data" outline="0" fieldPosition="0">
        <references count="2">
          <reference field="4294967294" count="1" selected="0">
            <x v="0"/>
          </reference>
          <reference field="13" count="1" selected="0">
            <x v="0"/>
          </reference>
        </references>
      </pivotArea>
    </chartFormat>
    <chartFormat chart="0" format="5">
      <pivotArea type="data" outline="0" fieldPosition="0">
        <references count="2">
          <reference field="4294967294" count="1" selected="0">
            <x v="0"/>
          </reference>
          <reference field="13" count="1" selected="0">
            <x v="1"/>
          </reference>
        </references>
      </pivotArea>
    </chartFormat>
    <chartFormat chart="0" format="6">
      <pivotArea type="data" outline="0" fieldPosition="0">
        <references count="2">
          <reference field="4294967294" count="1" selected="0">
            <x v="0"/>
          </reference>
          <reference field="13" count="1" selected="0">
            <x v="2"/>
          </reference>
        </references>
      </pivotArea>
    </chartFormat>
    <chartFormat chart="0" format="7">
      <pivotArea type="data" outline="0" fieldPosition="0">
        <references count="2">
          <reference field="4294967294" count="1" selected="0">
            <x v="0"/>
          </reference>
          <reference field="13" count="1" selected="0">
            <x v="3"/>
          </reference>
        </references>
      </pivotArea>
    </chartFormat>
    <chartFormat chart="13" format="19" series="1">
      <pivotArea type="data" outline="0" fieldPosition="0">
        <references count="1">
          <reference field="4294967294" count="1" selected="0">
            <x v="0"/>
          </reference>
        </references>
      </pivotArea>
    </chartFormat>
    <chartFormat chart="13" format="20">
      <pivotArea type="data" outline="0" fieldPosition="0">
        <references count="2">
          <reference field="4294967294" count="1" selected="0">
            <x v="0"/>
          </reference>
          <reference field="13" count="1" selected="0">
            <x v="0"/>
          </reference>
        </references>
      </pivotArea>
    </chartFormat>
    <chartFormat chart="13" format="21">
      <pivotArea type="data" outline="0" fieldPosition="0">
        <references count="2">
          <reference field="4294967294" count="1" selected="0">
            <x v="0"/>
          </reference>
          <reference field="13" count="1" selected="0">
            <x v="1"/>
          </reference>
        </references>
      </pivotArea>
    </chartFormat>
    <chartFormat chart="13" format="22">
      <pivotArea type="data" outline="0" fieldPosition="0">
        <references count="2">
          <reference field="4294967294" count="1" selected="0">
            <x v="0"/>
          </reference>
          <reference field="13" count="1" selected="0">
            <x v="2"/>
          </reference>
        </references>
      </pivotArea>
    </chartFormat>
    <chartFormat chart="13" format="23">
      <pivotArea type="data" outline="0" fieldPosition="0">
        <references count="2">
          <reference field="4294967294" count="1" selected="0">
            <x v="0"/>
          </reference>
          <reference field="1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BE2D4B3-1788-4253-9F71-BDCA32D6807D}"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2:B11" firstHeaderRow="1" firstDataRow="1" firstDataCol="1"/>
  <pivotFields count="16">
    <pivotField showAll="0"/>
    <pivotField numFmtId="14" showAll="0">
      <items count="200">
        <item x="165"/>
        <item x="107"/>
        <item x="34"/>
        <item x="167"/>
        <item x="150"/>
        <item x="83"/>
        <item x="172"/>
        <item x="71"/>
        <item x="162"/>
        <item x="186"/>
        <item x="60"/>
        <item x="1"/>
        <item x="43"/>
        <item x="168"/>
        <item x="86"/>
        <item x="85"/>
        <item x="2"/>
        <item x="42"/>
        <item x="77"/>
        <item x="130"/>
        <item x="90"/>
        <item x="32"/>
        <item x="178"/>
        <item x="59"/>
        <item x="16"/>
        <item x="5"/>
        <item x="184"/>
        <item x="156"/>
        <item x="114"/>
        <item x="29"/>
        <item x="73"/>
        <item x="36"/>
        <item x="17"/>
        <item x="123"/>
        <item x="9"/>
        <item x="93"/>
        <item x="161"/>
        <item x="52"/>
        <item x="33"/>
        <item x="97"/>
        <item x="180"/>
        <item x="122"/>
        <item x="35"/>
        <item x="6"/>
        <item x="96"/>
        <item x="160"/>
        <item x="45"/>
        <item x="138"/>
        <item x="121"/>
        <item x="13"/>
        <item x="110"/>
        <item x="163"/>
        <item x="171"/>
        <item x="98"/>
        <item x="24"/>
        <item x="81"/>
        <item x="88"/>
        <item x="89"/>
        <item x="12"/>
        <item x="175"/>
        <item x="10"/>
        <item x="152"/>
        <item x="25"/>
        <item x="79"/>
        <item x="111"/>
        <item x="117"/>
        <item x="198"/>
        <item x="19"/>
        <item x="174"/>
        <item x="0"/>
        <item x="75"/>
        <item x="40"/>
        <item x="31"/>
        <item x="141"/>
        <item x="37"/>
        <item x="119"/>
        <item x="170"/>
        <item x="101"/>
        <item x="63"/>
        <item x="78"/>
        <item x="4"/>
        <item x="192"/>
        <item x="56"/>
        <item x="87"/>
        <item x="146"/>
        <item x="118"/>
        <item x="113"/>
        <item x="57"/>
        <item x="116"/>
        <item x="84"/>
        <item x="50"/>
        <item x="15"/>
        <item x="157"/>
        <item x="131"/>
        <item x="8"/>
        <item x="126"/>
        <item x="189"/>
        <item x="104"/>
        <item x="91"/>
        <item x="154"/>
        <item x="193"/>
        <item x="144"/>
        <item x="62"/>
        <item x="92"/>
        <item x="39"/>
        <item x="66"/>
        <item x="190"/>
        <item x="82"/>
        <item x="100"/>
        <item x="55"/>
        <item x="164"/>
        <item x="132"/>
        <item x="143"/>
        <item x="46"/>
        <item x="149"/>
        <item x="3"/>
        <item x="176"/>
        <item x="106"/>
        <item x="14"/>
        <item x="68"/>
        <item x="102"/>
        <item x="191"/>
        <item x="196"/>
        <item x="22"/>
        <item x="151"/>
        <item x="133"/>
        <item x="120"/>
        <item x="148"/>
        <item x="197"/>
        <item x="64"/>
        <item x="124"/>
        <item x="94"/>
        <item x="69"/>
        <item x="26"/>
        <item x="99"/>
        <item x="65"/>
        <item x="173"/>
        <item x="155"/>
        <item x="105"/>
        <item x="147"/>
        <item x="72"/>
        <item x="153"/>
        <item x="177"/>
        <item x="48"/>
        <item x="159"/>
        <item x="21"/>
        <item x="169"/>
        <item x="44"/>
        <item x="11"/>
        <item x="28"/>
        <item x="38"/>
        <item x="95"/>
        <item x="41"/>
        <item x="136"/>
        <item x="115"/>
        <item x="80"/>
        <item x="140"/>
        <item x="108"/>
        <item x="109"/>
        <item x="103"/>
        <item x="49"/>
        <item x="74"/>
        <item x="127"/>
        <item x="23"/>
        <item x="27"/>
        <item x="53"/>
        <item x="187"/>
        <item x="195"/>
        <item x="70"/>
        <item x="18"/>
        <item x="188"/>
        <item x="179"/>
        <item x="183"/>
        <item x="139"/>
        <item x="145"/>
        <item x="67"/>
        <item x="142"/>
        <item x="134"/>
        <item x="166"/>
        <item x="7"/>
        <item x="30"/>
        <item x="20"/>
        <item x="135"/>
        <item x="181"/>
        <item x="58"/>
        <item x="47"/>
        <item x="194"/>
        <item x="182"/>
        <item x="61"/>
        <item x="51"/>
        <item x="54"/>
        <item x="137"/>
        <item x="76"/>
        <item x="125"/>
        <item x="128"/>
        <item x="158"/>
        <item x="112"/>
        <item x="129"/>
        <item x="185"/>
        <item t="default"/>
      </items>
    </pivotField>
    <pivotField showAll="0">
      <items count="5">
        <item x="0"/>
        <item x="3"/>
        <item x="2"/>
        <item x="1"/>
        <item t="default"/>
      </items>
    </pivotField>
    <pivotField showAll="0">
      <items count="4">
        <item x="2"/>
        <item x="1"/>
        <item x="0"/>
        <item t="default"/>
      </items>
    </pivotField>
    <pivotField axis="axisRow" showAll="0" sortType="ascending">
      <items count="10">
        <item x="1"/>
        <item x="4"/>
        <item x="8"/>
        <item x="3"/>
        <item x="5"/>
        <item x="0"/>
        <item x="6"/>
        <item x="7"/>
        <item x="2"/>
        <item t="default"/>
      </items>
    </pivotField>
    <pivotField showAll="0"/>
    <pivotField showAll="0"/>
    <pivotField showAll="0"/>
    <pivotField showAll="0"/>
    <pivotField showAll="0"/>
    <pivotField showAll="0"/>
    <pivotField dataField="1" showAll="0"/>
    <pivotField showAll="0">
      <items count="4">
        <item x="2"/>
        <item x="1"/>
        <item x="0"/>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h="1" x="1"/>
        <item x="2"/>
        <item h="1" x="3"/>
        <item h="1" x="4"/>
        <item h="1" x="5"/>
        <item h="1" x="6"/>
        <item h="1" x="7"/>
        <item h="1" x="8"/>
        <item h="1" x="9"/>
        <item h="1" x="10"/>
        <item h="1" x="11"/>
        <item h="1" x="12"/>
        <item h="1" x="13"/>
        <item t="default"/>
      </items>
    </pivotField>
  </pivotFields>
  <rowFields count="1">
    <field x="4"/>
  </rowFields>
  <rowItems count="9">
    <i>
      <x/>
    </i>
    <i>
      <x v="1"/>
    </i>
    <i>
      <x v="2"/>
    </i>
    <i>
      <x v="3"/>
    </i>
    <i>
      <x v="4"/>
    </i>
    <i>
      <x v="5"/>
    </i>
    <i>
      <x v="7"/>
    </i>
    <i>
      <x v="8"/>
    </i>
    <i t="grand">
      <x/>
    </i>
  </rowItems>
  <colItems count="1">
    <i/>
  </colItems>
  <dataFields count="1">
    <dataField name="Sum of Profit" fld="11" baseField="0" baseItem="0"/>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85837B-E407-4D2B-B782-81CA1D49DF99}"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23:E24" firstHeaderRow="1" firstDataRow="1" firstDataCol="0"/>
  <pivotFields count="16">
    <pivotField showAll="0"/>
    <pivotField numFmtId="14" showAll="0">
      <items count="200">
        <item x="165"/>
        <item x="107"/>
        <item x="34"/>
        <item x="167"/>
        <item x="150"/>
        <item x="83"/>
        <item x="172"/>
        <item x="71"/>
        <item x="162"/>
        <item x="186"/>
        <item x="60"/>
        <item x="1"/>
        <item x="43"/>
        <item x="168"/>
        <item x="86"/>
        <item x="85"/>
        <item x="2"/>
        <item x="42"/>
        <item x="77"/>
        <item x="130"/>
        <item x="90"/>
        <item x="32"/>
        <item x="178"/>
        <item x="59"/>
        <item x="16"/>
        <item x="5"/>
        <item x="184"/>
        <item x="156"/>
        <item x="114"/>
        <item x="29"/>
        <item x="73"/>
        <item x="36"/>
        <item x="17"/>
        <item x="123"/>
        <item x="9"/>
        <item x="93"/>
        <item x="161"/>
        <item x="52"/>
        <item x="33"/>
        <item x="97"/>
        <item x="180"/>
        <item x="122"/>
        <item x="35"/>
        <item x="6"/>
        <item x="96"/>
        <item x="160"/>
        <item x="45"/>
        <item x="138"/>
        <item x="121"/>
        <item x="13"/>
        <item x="110"/>
        <item x="163"/>
        <item x="171"/>
        <item x="98"/>
        <item x="24"/>
        <item x="81"/>
        <item x="88"/>
        <item x="89"/>
        <item x="12"/>
        <item x="175"/>
        <item x="10"/>
        <item x="152"/>
        <item x="25"/>
        <item x="79"/>
        <item x="111"/>
        <item x="117"/>
        <item x="198"/>
        <item x="19"/>
        <item x="174"/>
        <item x="0"/>
        <item x="75"/>
        <item x="40"/>
        <item x="31"/>
        <item x="141"/>
        <item x="37"/>
        <item x="119"/>
        <item x="170"/>
        <item x="101"/>
        <item x="63"/>
        <item x="78"/>
        <item x="4"/>
        <item x="192"/>
        <item x="56"/>
        <item x="87"/>
        <item x="146"/>
        <item x="118"/>
        <item x="113"/>
        <item x="57"/>
        <item x="116"/>
        <item x="84"/>
        <item x="50"/>
        <item x="15"/>
        <item x="157"/>
        <item x="131"/>
        <item x="8"/>
        <item x="126"/>
        <item x="189"/>
        <item x="104"/>
        <item x="91"/>
        <item x="154"/>
        <item x="193"/>
        <item x="144"/>
        <item x="62"/>
        <item x="92"/>
        <item x="39"/>
        <item x="66"/>
        <item x="190"/>
        <item x="82"/>
        <item x="100"/>
        <item x="55"/>
        <item x="164"/>
        <item x="132"/>
        <item x="143"/>
        <item x="46"/>
        <item x="149"/>
        <item x="3"/>
        <item x="176"/>
        <item x="106"/>
        <item x="14"/>
        <item x="68"/>
        <item x="102"/>
        <item x="191"/>
        <item x="196"/>
        <item x="22"/>
        <item x="151"/>
        <item x="133"/>
        <item x="120"/>
        <item x="148"/>
        <item x="197"/>
        <item x="64"/>
        <item x="124"/>
        <item x="94"/>
        <item x="69"/>
        <item x="26"/>
        <item x="99"/>
        <item x="65"/>
        <item x="173"/>
        <item x="155"/>
        <item x="105"/>
        <item x="147"/>
        <item x="72"/>
        <item x="153"/>
        <item x="177"/>
        <item x="48"/>
        <item x="159"/>
        <item x="21"/>
        <item x="169"/>
        <item x="44"/>
        <item x="11"/>
        <item x="28"/>
        <item x="38"/>
        <item x="95"/>
        <item x="41"/>
        <item x="136"/>
        <item x="115"/>
        <item x="80"/>
        <item x="140"/>
        <item x="108"/>
        <item x="109"/>
        <item x="103"/>
        <item x="49"/>
        <item x="74"/>
        <item x="127"/>
        <item x="23"/>
        <item x="27"/>
        <item x="53"/>
        <item x="187"/>
        <item x="195"/>
        <item x="70"/>
        <item x="18"/>
        <item x="188"/>
        <item x="179"/>
        <item x="183"/>
        <item x="139"/>
        <item x="145"/>
        <item x="67"/>
        <item x="142"/>
        <item x="134"/>
        <item x="166"/>
        <item x="7"/>
        <item x="30"/>
        <item x="20"/>
        <item x="135"/>
        <item x="181"/>
        <item x="58"/>
        <item x="47"/>
        <item x="194"/>
        <item x="182"/>
        <item x="61"/>
        <item x="51"/>
        <item x="54"/>
        <item x="137"/>
        <item x="76"/>
        <item x="125"/>
        <item x="128"/>
        <item x="158"/>
        <item x="112"/>
        <item x="129"/>
        <item x="185"/>
        <item t="default"/>
      </items>
    </pivotField>
    <pivotField showAll="0">
      <items count="5">
        <item x="0"/>
        <item x="3"/>
        <item x="2"/>
        <item x="1"/>
        <item t="default"/>
      </items>
    </pivotField>
    <pivotField showAll="0"/>
    <pivotField showAll="0"/>
    <pivotField showAll="0"/>
    <pivotField showAll="0"/>
    <pivotField showAll="0"/>
    <pivotField showAll="0"/>
    <pivotField showAll="0"/>
    <pivotField showAll="0"/>
    <pivotField dataField="1" showAll="0"/>
    <pivotField showAll="0">
      <items count="4">
        <item x="2"/>
        <item x="1"/>
        <item x="0"/>
        <item t="default"/>
      </items>
    </pivotField>
    <pivotField showAll="0"/>
    <pivotField showAll="0" defaultSubtotal="0"/>
    <pivotField showAll="0" defaultSubtotal="0">
      <items count="14">
        <item h="1" x="0"/>
        <item h="1" x="1"/>
        <item x="2"/>
        <item h="1" x="3"/>
        <item h="1" x="4"/>
        <item h="1" x="5"/>
        <item h="1" x="6"/>
        <item h="1" x="7"/>
        <item h="1" x="8"/>
        <item h="1" x="9"/>
        <item h="1" x="10"/>
        <item h="1" x="11"/>
        <item h="1" x="12"/>
        <item h="1" x="13"/>
      </items>
    </pivotField>
  </pivotFields>
  <rowItems count="1">
    <i/>
  </rowItems>
  <colItems count="1">
    <i/>
  </colItems>
  <dataFields count="1">
    <dataField name="Sum of Profit" fld="11"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0C14D68-F604-49AA-BA61-FC771540AC85}"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4">
  <location ref="A14:B18" firstHeaderRow="1" firstDataRow="1" firstDataCol="1"/>
  <pivotFields count="16">
    <pivotField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t="default"/>
      </items>
    </pivotField>
    <pivotField numFmtId="14" showAll="0">
      <items count="200">
        <item x="165"/>
        <item x="107"/>
        <item x="34"/>
        <item x="167"/>
        <item x="150"/>
        <item x="83"/>
        <item x="172"/>
        <item x="71"/>
        <item x="162"/>
        <item x="186"/>
        <item x="60"/>
        <item x="1"/>
        <item x="43"/>
        <item x="168"/>
        <item x="86"/>
        <item x="85"/>
        <item x="2"/>
        <item x="42"/>
        <item x="77"/>
        <item x="130"/>
        <item x="90"/>
        <item x="32"/>
        <item x="178"/>
        <item x="59"/>
        <item x="16"/>
        <item x="5"/>
        <item x="184"/>
        <item x="156"/>
        <item x="114"/>
        <item x="29"/>
        <item x="73"/>
        <item x="36"/>
        <item x="17"/>
        <item x="123"/>
        <item x="9"/>
        <item x="93"/>
        <item x="161"/>
        <item x="52"/>
        <item x="33"/>
        <item x="97"/>
        <item x="180"/>
        <item x="122"/>
        <item x="35"/>
        <item x="6"/>
        <item x="96"/>
        <item x="160"/>
        <item x="45"/>
        <item x="138"/>
        <item x="121"/>
        <item x="13"/>
        <item x="110"/>
        <item x="163"/>
        <item x="171"/>
        <item x="98"/>
        <item x="24"/>
        <item x="81"/>
        <item x="88"/>
        <item x="89"/>
        <item x="12"/>
        <item x="175"/>
        <item x="10"/>
        <item x="152"/>
        <item x="25"/>
        <item x="79"/>
        <item x="111"/>
        <item x="117"/>
        <item x="198"/>
        <item x="19"/>
        <item x="174"/>
        <item x="0"/>
        <item x="75"/>
        <item x="40"/>
        <item x="31"/>
        <item x="141"/>
        <item x="37"/>
        <item x="119"/>
        <item x="170"/>
        <item x="101"/>
        <item x="63"/>
        <item x="78"/>
        <item x="4"/>
        <item x="192"/>
        <item x="56"/>
        <item x="87"/>
        <item x="146"/>
        <item x="118"/>
        <item x="113"/>
        <item x="57"/>
        <item x="116"/>
        <item x="84"/>
        <item x="50"/>
        <item x="15"/>
        <item x="157"/>
        <item x="131"/>
        <item x="8"/>
        <item x="126"/>
        <item x="189"/>
        <item x="104"/>
        <item x="91"/>
        <item x="154"/>
        <item x="193"/>
        <item x="144"/>
        <item x="62"/>
        <item x="92"/>
        <item x="39"/>
        <item x="66"/>
        <item x="190"/>
        <item x="82"/>
        <item x="100"/>
        <item x="55"/>
        <item x="164"/>
        <item x="132"/>
        <item x="143"/>
        <item x="46"/>
        <item x="149"/>
        <item x="3"/>
        <item x="176"/>
        <item x="106"/>
        <item x="14"/>
        <item x="68"/>
        <item x="102"/>
        <item x="191"/>
        <item x="196"/>
        <item x="22"/>
        <item x="151"/>
        <item x="133"/>
        <item x="120"/>
        <item x="148"/>
        <item x="197"/>
        <item x="64"/>
        <item x="124"/>
        <item x="94"/>
        <item x="69"/>
        <item x="26"/>
        <item x="99"/>
        <item x="65"/>
        <item x="173"/>
        <item x="155"/>
        <item x="105"/>
        <item x="147"/>
        <item x="72"/>
        <item x="153"/>
        <item x="177"/>
        <item x="48"/>
        <item x="159"/>
        <item x="21"/>
        <item x="169"/>
        <item x="44"/>
        <item x="11"/>
        <item x="28"/>
        <item x="38"/>
        <item x="95"/>
        <item x="41"/>
        <item x="136"/>
        <item x="115"/>
        <item x="80"/>
        <item x="140"/>
        <item x="108"/>
        <item x="109"/>
        <item x="103"/>
        <item x="49"/>
        <item x="74"/>
        <item x="127"/>
        <item x="23"/>
        <item x="27"/>
        <item x="53"/>
        <item x="187"/>
        <item x="195"/>
        <item x="70"/>
        <item x="18"/>
        <item x="188"/>
        <item x="179"/>
        <item x="183"/>
        <item x="139"/>
        <item x="145"/>
        <item x="67"/>
        <item x="142"/>
        <item x="134"/>
        <item x="166"/>
        <item x="7"/>
        <item x="30"/>
        <item x="20"/>
        <item x="135"/>
        <item x="181"/>
        <item x="58"/>
        <item x="47"/>
        <item x="194"/>
        <item x="182"/>
        <item x="61"/>
        <item x="51"/>
        <item x="54"/>
        <item x="137"/>
        <item x="76"/>
        <item x="125"/>
        <item x="128"/>
        <item x="158"/>
        <item x="112"/>
        <item x="129"/>
        <item x="185"/>
        <item t="default"/>
      </items>
    </pivotField>
    <pivotField showAll="0">
      <items count="5">
        <item x="0"/>
        <item x="3"/>
        <item x="2"/>
        <item x="1"/>
        <item t="default"/>
      </items>
    </pivotField>
    <pivotField axis="axisRow" showAll="0" sortType="ascending">
      <items count="4">
        <item sd="0" x="2"/>
        <item sd="0" x="1"/>
        <item sd="0" x="0"/>
        <item t="default" sd="0"/>
      </items>
    </pivotField>
    <pivotField showAll="0">
      <items count="10">
        <item x="1"/>
        <item x="4"/>
        <item x="8"/>
        <item x="3"/>
        <item x="5"/>
        <item x="0"/>
        <item x="6"/>
        <item x="7"/>
        <item x="2"/>
        <item t="default"/>
      </items>
    </pivotField>
    <pivotField showAll="0">
      <items count="295">
        <item x="89"/>
        <item x="216"/>
        <item x="27"/>
        <item x="90"/>
        <item x="69"/>
        <item x="180"/>
        <item x="205"/>
        <item x="130"/>
        <item x="104"/>
        <item x="222"/>
        <item x="83"/>
        <item x="138"/>
        <item x="1"/>
        <item x="75"/>
        <item x="3"/>
        <item x="2"/>
        <item x="207"/>
        <item x="234"/>
        <item x="211"/>
        <item x="100"/>
        <item x="248"/>
        <item x="32"/>
        <item x="160"/>
        <item x="46"/>
        <item x="171"/>
        <item x="213"/>
        <item x="6"/>
        <item x="242"/>
        <item x="112"/>
        <item x="115"/>
        <item x="280"/>
        <item x="220"/>
        <item x="52"/>
        <item x="108"/>
        <item x="107"/>
        <item x="97"/>
        <item x="237"/>
        <item x="246"/>
        <item x="19"/>
        <item x="194"/>
        <item x="81"/>
        <item x="93"/>
        <item x="135"/>
        <item x="258"/>
        <item x="289"/>
        <item x="127"/>
        <item x="92"/>
        <item x="143"/>
        <item x="60"/>
        <item x="238"/>
        <item x="65"/>
        <item x="34"/>
        <item x="179"/>
        <item x="10"/>
        <item x="18"/>
        <item x="224"/>
        <item x="285"/>
        <item x="22"/>
        <item x="268"/>
        <item x="218"/>
        <item x="94"/>
        <item x="99"/>
        <item x="219"/>
        <item x="223"/>
        <item x="162"/>
        <item x="140"/>
        <item x="189"/>
        <item x="212"/>
        <item x="129"/>
        <item x="275"/>
        <item x="36"/>
        <item x="293"/>
        <item x="151"/>
        <item x="191"/>
        <item x="169"/>
        <item x="235"/>
        <item x="244"/>
        <item x="133"/>
        <item x="96"/>
        <item x="164"/>
        <item x="227"/>
        <item x="153"/>
        <item x="209"/>
        <item x="126"/>
        <item x="79"/>
        <item x="247"/>
        <item x="158"/>
        <item x="245"/>
        <item x="31"/>
        <item x="110"/>
        <item x="272"/>
        <item x="195"/>
        <item x="142"/>
        <item x="58"/>
        <item x="147"/>
        <item x="161"/>
        <item x="54"/>
        <item x="290"/>
        <item x="124"/>
        <item x="165"/>
        <item x="105"/>
        <item x="137"/>
        <item x="193"/>
        <item x="166"/>
        <item x="76"/>
        <item x="5"/>
        <item x="204"/>
        <item x="271"/>
        <item x="9"/>
        <item x="47"/>
        <item x="109"/>
        <item x="119"/>
        <item x="149"/>
        <item x="70"/>
        <item x="154"/>
        <item x="85"/>
        <item x="240"/>
        <item x="155"/>
        <item x="71"/>
        <item x="197"/>
        <item x="30"/>
        <item x="66"/>
        <item x="181"/>
        <item x="132"/>
        <item x="190"/>
        <item x="176"/>
        <item x="156"/>
        <item x="260"/>
        <item x="86"/>
        <item x="56"/>
        <item x="74"/>
        <item x="8"/>
        <item x="172"/>
        <item x="73"/>
        <item x="167"/>
        <item x="252"/>
        <item x="202"/>
        <item x="221"/>
        <item x="279"/>
        <item x="198"/>
        <item x="251"/>
        <item x="7"/>
        <item x="42"/>
        <item x="48"/>
        <item x="286"/>
        <item x="274"/>
        <item x="13"/>
        <item x="72"/>
        <item x="51"/>
        <item x="45"/>
        <item x="33"/>
        <item x="277"/>
        <item x="173"/>
        <item x="114"/>
        <item x="201"/>
        <item x="291"/>
        <item x="111"/>
        <item x="11"/>
        <item x="174"/>
        <item x="183"/>
        <item x="276"/>
        <item x="91"/>
        <item x="59"/>
        <item x="159"/>
        <item x="267"/>
        <item x="40"/>
        <item x="292"/>
        <item x="16"/>
        <item x="145"/>
        <item x="49"/>
        <item x="84"/>
        <item x="266"/>
        <item x="228"/>
        <item x="144"/>
        <item x="281"/>
        <item x="214"/>
        <item x="87"/>
        <item x="95"/>
        <item x="62"/>
        <item x="82"/>
        <item x="215"/>
        <item x="175"/>
        <item x="185"/>
        <item x="282"/>
        <item x="264"/>
        <item x="226"/>
        <item x="177"/>
        <item x="273"/>
        <item x="225"/>
        <item x="0"/>
        <item x="12"/>
        <item x="157"/>
        <item x="186"/>
        <item x="98"/>
        <item x="38"/>
        <item x="55"/>
        <item x="50"/>
        <item x="24"/>
        <item x="23"/>
        <item x="120"/>
        <item x="128"/>
        <item x="68"/>
        <item x="257"/>
        <item x="283"/>
        <item x="77"/>
        <item x="168"/>
        <item x="150"/>
        <item x="203"/>
        <item x="131"/>
        <item x="284"/>
        <item x="184"/>
        <item x="243"/>
        <item x="288"/>
        <item x="64"/>
        <item x="125"/>
        <item x="192"/>
        <item x="122"/>
        <item x="14"/>
        <item x="53"/>
        <item x="200"/>
        <item x="249"/>
        <item x="178"/>
        <item x="118"/>
        <item x="196"/>
        <item x="287"/>
        <item x="239"/>
        <item x="148"/>
        <item x="61"/>
        <item x="25"/>
        <item x="265"/>
        <item x="255"/>
        <item x="21"/>
        <item x="102"/>
        <item x="259"/>
        <item x="199"/>
        <item x="152"/>
        <item x="236"/>
        <item x="103"/>
        <item x="63"/>
        <item x="20"/>
        <item x="187"/>
        <item x="57"/>
        <item x="261"/>
        <item x="37"/>
        <item x="270"/>
        <item x="232"/>
        <item x="241"/>
        <item x="229"/>
        <item x="121"/>
        <item x="206"/>
        <item x="123"/>
        <item x="41"/>
        <item x="188"/>
        <item x="17"/>
        <item x="141"/>
        <item x="26"/>
        <item x="15"/>
        <item x="139"/>
        <item x="208"/>
        <item x="43"/>
        <item x="35"/>
        <item x="44"/>
        <item x="113"/>
        <item x="217"/>
        <item x="254"/>
        <item x="78"/>
        <item x="182"/>
        <item x="39"/>
        <item x="117"/>
        <item x="210"/>
        <item x="146"/>
        <item x="106"/>
        <item x="136"/>
        <item x="4"/>
        <item x="29"/>
        <item x="88"/>
        <item x="163"/>
        <item x="230"/>
        <item x="80"/>
        <item x="278"/>
        <item x="231"/>
        <item x="269"/>
        <item x="170"/>
        <item x="101"/>
        <item x="233"/>
        <item x="28"/>
        <item x="262"/>
        <item x="134"/>
        <item x="116"/>
        <item x="250"/>
        <item x="263"/>
        <item x="256"/>
        <item x="253"/>
        <item x="67"/>
        <item t="default"/>
      </items>
    </pivotField>
    <pivotField showAll="0">
      <items count="7">
        <item sd="0" x="0"/>
        <item sd="0" x="3"/>
        <item sd="0" x="1"/>
        <item sd="0" x="5"/>
        <item sd="0" x="2"/>
        <item sd="0" x="4"/>
        <item t="default" sd="0"/>
      </items>
    </pivotField>
    <pivotField showAll="0"/>
    <pivotField showAll="0"/>
    <pivotField dataField="1" showAll="0">
      <items count="300">
        <item x="5"/>
        <item x="219"/>
        <item x="103"/>
        <item x="289"/>
        <item x="32"/>
        <item x="242"/>
        <item x="57"/>
        <item x="2"/>
        <item x="48"/>
        <item x="275"/>
        <item x="222"/>
        <item x="44"/>
        <item x="121"/>
        <item x="133"/>
        <item x="98"/>
        <item x="190"/>
        <item x="82"/>
        <item x="157"/>
        <item x="1"/>
        <item x="195"/>
        <item x="207"/>
        <item x="238"/>
        <item x="278"/>
        <item x="296"/>
        <item x="50"/>
        <item x="260"/>
        <item x="148"/>
        <item x="72"/>
        <item x="250"/>
        <item x="180"/>
        <item x="33"/>
        <item x="28"/>
        <item x="233"/>
        <item x="43"/>
        <item x="79"/>
        <item x="252"/>
        <item x="146"/>
        <item x="115"/>
        <item x="108"/>
        <item x="83"/>
        <item x="273"/>
        <item x="174"/>
        <item x="261"/>
        <item x="225"/>
        <item x="119"/>
        <item x="139"/>
        <item x="29"/>
        <item x="117"/>
        <item x="110"/>
        <item x="125"/>
        <item x="105"/>
        <item x="147"/>
        <item x="200"/>
        <item x="224"/>
        <item x="87"/>
        <item x="246"/>
        <item x="221"/>
        <item x="155"/>
        <item x="164"/>
        <item x="217"/>
        <item x="150"/>
        <item x="154"/>
        <item x="127"/>
        <item x="101"/>
        <item x="169"/>
        <item x="232"/>
        <item x="185"/>
        <item x="235"/>
        <item x="236"/>
        <item x="191"/>
        <item x="179"/>
        <item x="26"/>
        <item x="54"/>
        <item x="136"/>
        <item x="77"/>
        <item x="161"/>
        <item x="193"/>
        <item x="81"/>
        <item x="8"/>
        <item x="205"/>
        <item x="170"/>
        <item x="38"/>
        <item x="251"/>
        <item x="20"/>
        <item x="291"/>
        <item x="209"/>
        <item x="13"/>
        <item x="126"/>
        <item x="198"/>
        <item x="99"/>
        <item x="272"/>
        <item x="112"/>
        <item x="17"/>
        <item x="141"/>
        <item x="258"/>
        <item x="259"/>
        <item x="3"/>
        <item x="288"/>
        <item x="61"/>
        <item x="107"/>
        <item x="274"/>
        <item x="228"/>
        <item x="175"/>
        <item x="268"/>
        <item x="18"/>
        <item x="34"/>
        <item x="94"/>
        <item x="122"/>
        <item x="102"/>
        <item x="265"/>
        <item x="24"/>
        <item x="189"/>
        <item x="97"/>
        <item x="152"/>
        <item x="218"/>
        <item x="230"/>
        <item x="138"/>
        <item x="35"/>
        <item x="76"/>
        <item x="271"/>
        <item x="153"/>
        <item x="75"/>
        <item x="46"/>
        <item x="257"/>
        <item x="249"/>
        <item x="25"/>
        <item x="163"/>
        <item x="178"/>
        <item x="118"/>
        <item x="298"/>
        <item x="68"/>
        <item x="84"/>
        <item x="73"/>
        <item x="80"/>
        <item x="100"/>
        <item x="10"/>
        <item x="52"/>
        <item x="64"/>
        <item x="176"/>
        <item x="182"/>
        <item x="7"/>
        <item x="158"/>
        <item x="144"/>
        <item x="91"/>
        <item x="172"/>
        <item x="60"/>
        <item x="194"/>
        <item x="42"/>
        <item x="215"/>
        <item x="134"/>
        <item x="266"/>
        <item x="0"/>
        <item x="203"/>
        <item x="168"/>
        <item x="286"/>
        <item x="135"/>
        <item x="89"/>
        <item x="212"/>
        <item x="227"/>
        <item x="210"/>
        <item x="120"/>
        <item x="281"/>
        <item x="70"/>
        <item x="140"/>
        <item x="78"/>
        <item x="240"/>
        <item x="12"/>
        <item x="241"/>
        <item x="128"/>
        <item x="4"/>
        <item x="160"/>
        <item x="244"/>
        <item x="187"/>
        <item x="162"/>
        <item x="294"/>
        <item x="109"/>
        <item x="114"/>
        <item x="145"/>
        <item x="283"/>
        <item x="156"/>
        <item x="151"/>
        <item x="16"/>
        <item x="197"/>
        <item x="247"/>
        <item x="254"/>
        <item x="129"/>
        <item x="39"/>
        <item x="243"/>
        <item x="186"/>
        <item x="267"/>
        <item x="137"/>
        <item x="74"/>
        <item x="201"/>
        <item x="123"/>
        <item x="214"/>
        <item x="22"/>
        <item x="279"/>
        <item x="226"/>
        <item x="181"/>
        <item x="183"/>
        <item x="237"/>
        <item x="277"/>
        <item x="239"/>
        <item x="37"/>
        <item x="234"/>
        <item x="36"/>
        <item x="31"/>
        <item x="53"/>
        <item x="220"/>
        <item x="47"/>
        <item x="270"/>
        <item x="149"/>
        <item x="165"/>
        <item x="19"/>
        <item x="96"/>
        <item x="130"/>
        <item x="173"/>
        <item x="248"/>
        <item x="116"/>
        <item x="49"/>
        <item x="285"/>
        <item x="66"/>
        <item x="263"/>
        <item x="23"/>
        <item x="15"/>
        <item x="55"/>
        <item x="67"/>
        <item x="297"/>
        <item x="264"/>
        <item x="21"/>
        <item x="85"/>
        <item x="104"/>
        <item x="171"/>
        <item x="11"/>
        <item x="206"/>
        <item x="166"/>
        <item x="131"/>
        <item x="113"/>
        <item x="290"/>
        <item x="45"/>
        <item x="188"/>
        <item x="143"/>
        <item x="95"/>
        <item x="167"/>
        <item x="86"/>
        <item x="14"/>
        <item x="51"/>
        <item x="295"/>
        <item x="287"/>
        <item x="223"/>
        <item x="69"/>
        <item x="208"/>
        <item x="184"/>
        <item x="292"/>
        <item x="245"/>
        <item x="93"/>
        <item x="196"/>
        <item x="27"/>
        <item x="276"/>
        <item x="62"/>
        <item x="256"/>
        <item x="159"/>
        <item x="132"/>
        <item x="255"/>
        <item x="124"/>
        <item x="269"/>
        <item x="6"/>
        <item x="106"/>
        <item x="90"/>
        <item x="71"/>
        <item x="58"/>
        <item x="262"/>
        <item x="199"/>
        <item x="88"/>
        <item x="30"/>
        <item x="253"/>
        <item x="63"/>
        <item x="280"/>
        <item x="229"/>
        <item x="211"/>
        <item x="59"/>
        <item x="231"/>
        <item x="65"/>
        <item x="216"/>
        <item x="213"/>
        <item x="293"/>
        <item x="142"/>
        <item x="284"/>
        <item x="9"/>
        <item x="41"/>
        <item x="40"/>
        <item x="204"/>
        <item x="177"/>
        <item x="192"/>
        <item x="282"/>
        <item x="202"/>
        <item x="92"/>
        <item x="56"/>
        <item x="111"/>
        <item t="default"/>
      </items>
    </pivotField>
    <pivotField showAll="0"/>
    <pivotField showAll="0"/>
    <pivotField showAll="0">
      <items count="4">
        <item x="2"/>
        <item x="1"/>
        <item x="0"/>
        <item t="default"/>
      </items>
    </pivotField>
    <pivotField showAll="0">
      <items count="5">
        <item x="3"/>
        <item x="1"/>
        <item x="2"/>
        <item x="0"/>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sd="0"/>
      </items>
    </pivotField>
    <pivotField showAll="0">
      <items count="15">
        <item h="1" x="0"/>
        <item h="1" x="1"/>
        <item x="2"/>
        <item h="1" x="3"/>
        <item h="1" x="4"/>
        <item h="1" x="5"/>
        <item h="1" x="6"/>
        <item h="1" x="7"/>
        <item h="1" x="8"/>
        <item h="1" x="9"/>
        <item h="1" x="10"/>
        <item h="1" x="11"/>
        <item h="1" x="12"/>
        <item h="1" x="13"/>
        <item t="default"/>
      </items>
    </pivotField>
  </pivotFields>
  <rowFields count="1">
    <field x="3"/>
  </rowFields>
  <rowItems count="4">
    <i>
      <x/>
    </i>
    <i>
      <x v="1"/>
    </i>
    <i>
      <x v="2"/>
    </i>
    <i t="grand">
      <x/>
    </i>
  </rowItems>
  <colItems count="1">
    <i/>
  </colItems>
  <dataFields count="1">
    <dataField name="Sum of Revenue" fld="9" baseField="0" baseItem="0" numFmtId="165"/>
  </dataFields>
  <chartFormats count="2">
    <chartFormat chart="20" format="49" series="1">
      <pivotArea type="data" outline="0" fieldPosition="0">
        <references count="1">
          <reference field="4294967294" count="1" selected="0">
            <x v="0"/>
          </reference>
        </references>
      </pivotArea>
    </chartFormat>
    <chartFormat chart="2" format="4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290F8DB-E950-4D21-A8CC-4E4677B8225E}" name="PivotTable6"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3:E8" firstHeaderRow="1" firstDataRow="1" firstDataCol="1"/>
  <pivotFields count="2">
    <pivotField dataField="1" subtotalTop="0" showAll="0" defaultSubtotal="0"/>
    <pivotField axis="axisRow" allDrilled="1" subtotalTop="0" showAll="0" dataSourceSort="1" defaultSubtotal="0" defaultAttributeDrillState="1">
      <items count="4">
        <item x="0"/>
        <item x="1"/>
        <item x="2"/>
        <item x="3"/>
      </items>
    </pivotField>
  </pivotFields>
  <rowFields count="1">
    <field x="1"/>
  </rowFields>
  <rowItems count="5">
    <i>
      <x/>
    </i>
    <i>
      <x v="1"/>
    </i>
    <i>
      <x v="2"/>
    </i>
    <i>
      <x v="3"/>
    </i>
    <i t="grand">
      <x/>
    </i>
  </rowItems>
  <colItems count="1">
    <i/>
  </colItems>
  <dataFields count="1">
    <dataField name="Count of CustomerType" fld="0" subtotal="count" baseField="0" baseItem="0"/>
  </dataFields>
  <pivotHierarchies count="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A$1:$N$300">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30B297E-17C0-457D-82F2-21D4A7A6C094}"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D10:E14" firstHeaderRow="1" firstDataRow="1" firstDataCol="1"/>
  <pivotFields count="16">
    <pivotField showAll="0"/>
    <pivotField numFmtId="14" showAll="0">
      <items count="200">
        <item x="165"/>
        <item x="107"/>
        <item x="34"/>
        <item x="167"/>
        <item x="150"/>
        <item x="83"/>
        <item x="172"/>
        <item x="71"/>
        <item x="162"/>
        <item x="186"/>
        <item x="60"/>
        <item x="1"/>
        <item x="43"/>
        <item x="168"/>
        <item x="86"/>
        <item x="85"/>
        <item x="2"/>
        <item x="42"/>
        <item x="77"/>
        <item x="130"/>
        <item x="90"/>
        <item x="32"/>
        <item x="178"/>
        <item x="59"/>
        <item x="16"/>
        <item x="5"/>
        <item x="184"/>
        <item x="156"/>
        <item x="114"/>
        <item x="29"/>
        <item x="73"/>
        <item x="36"/>
        <item x="17"/>
        <item x="123"/>
        <item x="9"/>
        <item x="93"/>
        <item x="161"/>
        <item x="52"/>
        <item x="33"/>
        <item x="97"/>
        <item x="180"/>
        <item x="122"/>
        <item x="35"/>
        <item x="6"/>
        <item x="96"/>
        <item x="160"/>
        <item x="45"/>
        <item x="138"/>
        <item x="121"/>
        <item x="13"/>
        <item x="110"/>
        <item x="163"/>
        <item x="171"/>
        <item x="98"/>
        <item x="24"/>
        <item x="81"/>
        <item x="88"/>
        <item x="89"/>
        <item x="12"/>
        <item x="175"/>
        <item x="10"/>
        <item x="152"/>
        <item x="25"/>
        <item x="79"/>
        <item x="111"/>
        <item x="117"/>
        <item x="198"/>
        <item x="19"/>
        <item x="174"/>
        <item x="0"/>
        <item x="75"/>
        <item x="40"/>
        <item x="31"/>
        <item x="141"/>
        <item x="37"/>
        <item x="119"/>
        <item x="170"/>
        <item x="101"/>
        <item x="63"/>
        <item x="78"/>
        <item x="4"/>
        <item x="192"/>
        <item x="56"/>
        <item x="87"/>
        <item x="146"/>
        <item x="118"/>
        <item x="113"/>
        <item x="57"/>
        <item x="116"/>
        <item x="84"/>
        <item x="50"/>
        <item x="15"/>
        <item x="157"/>
        <item x="131"/>
        <item x="8"/>
        <item x="126"/>
        <item x="189"/>
        <item x="104"/>
        <item x="91"/>
        <item x="154"/>
        <item x="193"/>
        <item x="144"/>
        <item x="62"/>
        <item x="92"/>
        <item x="39"/>
        <item x="66"/>
        <item x="190"/>
        <item x="82"/>
        <item x="100"/>
        <item x="55"/>
        <item x="164"/>
        <item x="132"/>
        <item x="143"/>
        <item x="46"/>
        <item x="149"/>
        <item x="3"/>
        <item x="176"/>
        <item x="106"/>
        <item x="14"/>
        <item x="68"/>
        <item x="102"/>
        <item x="191"/>
        <item x="196"/>
        <item x="22"/>
        <item x="151"/>
        <item x="133"/>
        <item x="120"/>
        <item x="148"/>
        <item x="197"/>
        <item x="64"/>
        <item x="124"/>
        <item x="94"/>
        <item x="69"/>
        <item x="26"/>
        <item x="99"/>
        <item x="65"/>
        <item x="173"/>
        <item x="155"/>
        <item x="105"/>
        <item x="147"/>
        <item x="72"/>
        <item x="153"/>
        <item x="177"/>
        <item x="48"/>
        <item x="159"/>
        <item x="21"/>
        <item x="169"/>
        <item x="44"/>
        <item x="11"/>
        <item x="28"/>
        <item x="38"/>
        <item x="95"/>
        <item x="41"/>
        <item x="136"/>
        <item x="115"/>
        <item x="80"/>
        <item x="140"/>
        <item x="108"/>
        <item x="109"/>
        <item x="103"/>
        <item x="49"/>
        <item x="74"/>
        <item x="127"/>
        <item x="23"/>
        <item x="27"/>
        <item x="53"/>
        <item x="187"/>
        <item x="195"/>
        <item x="70"/>
        <item x="18"/>
        <item x="188"/>
        <item x="179"/>
        <item x="183"/>
        <item x="139"/>
        <item x="145"/>
        <item x="67"/>
        <item x="142"/>
        <item x="134"/>
        <item x="166"/>
        <item x="7"/>
        <item x="30"/>
        <item x="20"/>
        <item x="135"/>
        <item x="181"/>
        <item x="58"/>
        <item x="47"/>
        <item x="194"/>
        <item x="182"/>
        <item x="61"/>
        <item x="51"/>
        <item x="54"/>
        <item x="137"/>
        <item x="76"/>
        <item x="125"/>
        <item x="128"/>
        <item x="158"/>
        <item x="112"/>
        <item x="129"/>
        <item x="185"/>
        <item t="default"/>
      </items>
    </pivotField>
    <pivotField showAll="0">
      <items count="5">
        <item x="0"/>
        <item x="3"/>
        <item x="2"/>
        <item x="1"/>
        <item t="default"/>
      </items>
    </pivotField>
    <pivotField showAll="0">
      <items count="4">
        <item x="2"/>
        <item x="1"/>
        <item x="0"/>
        <item t="default"/>
      </items>
    </pivotField>
    <pivotField showAll="0">
      <items count="10">
        <item x="1"/>
        <item x="4"/>
        <item x="8"/>
        <item x="3"/>
        <item x="5"/>
        <item x="0"/>
        <item x="6"/>
        <item x="7"/>
        <item x="2"/>
        <item t="default"/>
      </items>
    </pivotField>
    <pivotField showAll="0">
      <items count="295">
        <item x="89"/>
        <item x="216"/>
        <item x="27"/>
        <item x="90"/>
        <item x="69"/>
        <item x="180"/>
        <item x="205"/>
        <item x="130"/>
        <item x="104"/>
        <item x="222"/>
        <item x="83"/>
        <item x="138"/>
        <item x="1"/>
        <item x="75"/>
        <item x="3"/>
        <item x="2"/>
        <item x="207"/>
        <item x="234"/>
        <item x="211"/>
        <item x="100"/>
        <item x="248"/>
        <item x="32"/>
        <item x="160"/>
        <item x="46"/>
        <item x="171"/>
        <item x="213"/>
        <item x="6"/>
        <item x="242"/>
        <item x="112"/>
        <item x="115"/>
        <item x="280"/>
        <item x="220"/>
        <item x="52"/>
        <item x="108"/>
        <item x="107"/>
        <item x="97"/>
        <item x="237"/>
        <item x="246"/>
        <item x="19"/>
        <item x="194"/>
        <item x="81"/>
        <item x="93"/>
        <item x="135"/>
        <item x="258"/>
        <item x="289"/>
        <item x="127"/>
        <item x="92"/>
        <item x="143"/>
        <item x="60"/>
        <item x="238"/>
        <item x="65"/>
        <item x="34"/>
        <item x="179"/>
        <item x="10"/>
        <item x="18"/>
        <item x="224"/>
        <item x="285"/>
        <item x="22"/>
        <item x="268"/>
        <item x="218"/>
        <item x="94"/>
        <item x="99"/>
        <item x="219"/>
        <item x="223"/>
        <item x="162"/>
        <item x="140"/>
        <item x="189"/>
        <item x="212"/>
        <item x="129"/>
        <item x="275"/>
        <item x="36"/>
        <item x="293"/>
        <item x="151"/>
        <item x="191"/>
        <item x="169"/>
        <item x="235"/>
        <item x="244"/>
        <item x="133"/>
        <item x="96"/>
        <item x="164"/>
        <item x="227"/>
        <item x="153"/>
        <item x="209"/>
        <item x="126"/>
        <item x="79"/>
        <item x="247"/>
        <item x="158"/>
        <item x="245"/>
        <item x="31"/>
        <item x="110"/>
        <item x="272"/>
        <item x="195"/>
        <item x="142"/>
        <item x="58"/>
        <item x="147"/>
        <item x="161"/>
        <item x="54"/>
        <item x="290"/>
        <item x="124"/>
        <item x="165"/>
        <item x="105"/>
        <item x="137"/>
        <item x="193"/>
        <item x="166"/>
        <item x="76"/>
        <item x="5"/>
        <item x="204"/>
        <item x="271"/>
        <item x="9"/>
        <item x="47"/>
        <item x="109"/>
        <item x="119"/>
        <item x="149"/>
        <item x="70"/>
        <item x="154"/>
        <item x="85"/>
        <item x="240"/>
        <item x="155"/>
        <item x="71"/>
        <item x="197"/>
        <item x="30"/>
        <item x="66"/>
        <item x="181"/>
        <item x="132"/>
        <item x="190"/>
        <item x="176"/>
        <item x="156"/>
        <item x="260"/>
        <item x="86"/>
        <item x="56"/>
        <item x="74"/>
        <item x="8"/>
        <item x="172"/>
        <item x="73"/>
        <item x="167"/>
        <item x="252"/>
        <item x="202"/>
        <item x="221"/>
        <item x="279"/>
        <item x="198"/>
        <item x="251"/>
        <item x="7"/>
        <item x="42"/>
        <item x="48"/>
        <item x="286"/>
        <item x="274"/>
        <item x="13"/>
        <item x="72"/>
        <item x="51"/>
        <item x="45"/>
        <item x="33"/>
        <item x="277"/>
        <item x="173"/>
        <item x="114"/>
        <item x="201"/>
        <item x="291"/>
        <item x="111"/>
        <item x="11"/>
        <item x="174"/>
        <item x="183"/>
        <item x="276"/>
        <item x="91"/>
        <item x="59"/>
        <item x="159"/>
        <item x="267"/>
        <item x="40"/>
        <item x="292"/>
        <item x="16"/>
        <item x="145"/>
        <item x="49"/>
        <item x="84"/>
        <item x="266"/>
        <item x="228"/>
        <item x="144"/>
        <item x="281"/>
        <item x="214"/>
        <item x="87"/>
        <item x="95"/>
        <item x="62"/>
        <item x="82"/>
        <item x="215"/>
        <item x="175"/>
        <item x="185"/>
        <item x="282"/>
        <item x="264"/>
        <item x="226"/>
        <item x="177"/>
        <item x="273"/>
        <item x="225"/>
        <item x="0"/>
        <item x="12"/>
        <item x="157"/>
        <item x="186"/>
        <item x="98"/>
        <item x="38"/>
        <item x="55"/>
        <item x="50"/>
        <item x="24"/>
        <item x="23"/>
        <item x="120"/>
        <item x="128"/>
        <item x="68"/>
        <item x="257"/>
        <item x="283"/>
        <item x="77"/>
        <item x="168"/>
        <item x="150"/>
        <item x="203"/>
        <item x="131"/>
        <item x="284"/>
        <item x="184"/>
        <item x="243"/>
        <item x="288"/>
        <item x="64"/>
        <item x="125"/>
        <item x="192"/>
        <item x="122"/>
        <item x="14"/>
        <item x="53"/>
        <item x="200"/>
        <item x="249"/>
        <item x="178"/>
        <item x="118"/>
        <item x="196"/>
        <item x="287"/>
        <item x="239"/>
        <item x="148"/>
        <item x="61"/>
        <item x="25"/>
        <item x="265"/>
        <item x="255"/>
        <item x="21"/>
        <item x="102"/>
        <item x="259"/>
        <item x="199"/>
        <item x="152"/>
        <item x="236"/>
        <item x="103"/>
        <item x="63"/>
        <item x="20"/>
        <item x="187"/>
        <item x="57"/>
        <item x="261"/>
        <item x="37"/>
        <item x="270"/>
        <item x="232"/>
        <item x="241"/>
        <item x="229"/>
        <item x="121"/>
        <item x="206"/>
        <item x="123"/>
        <item x="41"/>
        <item x="188"/>
        <item x="17"/>
        <item x="141"/>
        <item x="26"/>
        <item x="15"/>
        <item x="139"/>
        <item x="208"/>
        <item x="43"/>
        <item x="35"/>
        <item x="44"/>
        <item x="113"/>
        <item x="217"/>
        <item x="254"/>
        <item x="78"/>
        <item x="182"/>
        <item x="39"/>
        <item x="117"/>
        <item x="210"/>
        <item x="146"/>
        <item x="106"/>
        <item x="136"/>
        <item x="4"/>
        <item x="29"/>
        <item x="88"/>
        <item x="163"/>
        <item x="230"/>
        <item x="80"/>
        <item x="278"/>
        <item x="231"/>
        <item x="269"/>
        <item x="170"/>
        <item x="101"/>
        <item x="233"/>
        <item x="28"/>
        <item x="262"/>
        <item x="134"/>
        <item x="116"/>
        <item x="250"/>
        <item x="263"/>
        <item x="256"/>
        <item x="253"/>
        <item x="67"/>
        <item t="default"/>
      </items>
    </pivotField>
    <pivotField showAll="0"/>
    <pivotField dataField="1" showAll="0"/>
    <pivotField showAll="0"/>
    <pivotField showAll="0"/>
    <pivotField showAll="0"/>
    <pivotField showAll="0"/>
    <pivotField axis="axisRow" showAll="0">
      <items count="4">
        <item x="2"/>
        <item x="1"/>
        <item x="0"/>
        <item t="default"/>
      </items>
    </pivotField>
    <pivotField showAll="0">
      <items count="5">
        <item x="3"/>
        <item x="1"/>
        <item x="2"/>
        <item x="0"/>
        <item t="default"/>
      </items>
    </pivotField>
    <pivotField showAll="0" defaultSubtotal="0"/>
    <pivotField showAll="0" defaultSubtotal="0">
      <items count="14">
        <item h="1" x="0"/>
        <item h="1" x="1"/>
        <item x="2"/>
        <item h="1" x="3"/>
        <item h="1" x="4"/>
        <item h="1" x="5"/>
        <item h="1" x="6"/>
        <item h="1" x="7"/>
        <item h="1" x="8"/>
        <item h="1" x="9"/>
        <item h="1" x="10"/>
        <item h="1" x="11"/>
        <item h="1" x="12"/>
        <item h="1" x="13"/>
      </items>
    </pivotField>
  </pivotFields>
  <rowFields count="1">
    <field x="12"/>
  </rowFields>
  <rowItems count="4">
    <i>
      <x/>
    </i>
    <i>
      <x v="1"/>
    </i>
    <i>
      <x v="2"/>
    </i>
    <i t="grand">
      <x/>
    </i>
  </rowItems>
  <colItems count="1">
    <i/>
  </colItems>
  <dataFields count="1">
    <dataField name="Sum of quantity " fld="7" baseField="0" baseItem="0"/>
  </dataFields>
  <chartFormats count="8">
    <chartFormat chart="7" format="17" series="1">
      <pivotArea type="data" outline="0" fieldPosition="0">
        <references count="1">
          <reference field="4294967294" count="1" selected="0">
            <x v="0"/>
          </reference>
        </references>
      </pivotArea>
    </chartFormat>
    <chartFormat chart="5" format="9" series="1">
      <pivotArea type="data" outline="0" fieldPosition="0">
        <references count="1">
          <reference field="4294967294" count="1" selected="0">
            <x v="0"/>
          </reference>
        </references>
      </pivotArea>
    </chartFormat>
    <chartFormat chart="7" format="18">
      <pivotArea type="data" outline="0" fieldPosition="0">
        <references count="2">
          <reference field="4294967294" count="1" selected="0">
            <x v="0"/>
          </reference>
          <reference field="12" count="1" selected="0">
            <x v="0"/>
          </reference>
        </references>
      </pivotArea>
    </chartFormat>
    <chartFormat chart="7" format="19">
      <pivotArea type="data" outline="0" fieldPosition="0">
        <references count="2">
          <reference field="4294967294" count="1" selected="0">
            <x v="0"/>
          </reference>
          <reference field="12" count="1" selected="0">
            <x v="2"/>
          </reference>
        </references>
      </pivotArea>
    </chartFormat>
    <chartFormat chart="5" format="10">
      <pivotArea type="data" outline="0" fieldPosition="0">
        <references count="2">
          <reference field="4294967294" count="1" selected="0">
            <x v="0"/>
          </reference>
          <reference field="12" count="1" selected="0">
            <x v="0"/>
          </reference>
        </references>
      </pivotArea>
    </chartFormat>
    <chartFormat chart="5" format="11">
      <pivotArea type="data" outline="0" fieldPosition="0">
        <references count="2">
          <reference field="4294967294" count="1" selected="0">
            <x v="0"/>
          </reference>
          <reference field="12" count="1" selected="0">
            <x v="2"/>
          </reference>
        </references>
      </pivotArea>
    </chartFormat>
    <chartFormat chart="5" format="12">
      <pivotArea type="data" outline="0" fieldPosition="0">
        <references count="2">
          <reference field="4294967294" count="1" selected="0">
            <x v="0"/>
          </reference>
          <reference field="12" count="1" selected="0">
            <x v="1"/>
          </reference>
        </references>
      </pivotArea>
    </chartFormat>
    <chartFormat chart="7" format="20">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E39A16A-DF17-419D-85D0-66E695A0CF07}"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17:I18" firstHeaderRow="1" firstDataRow="1" firstDataCol="0"/>
  <pivotFields count="16">
    <pivotField showAll="0"/>
    <pivotField numFmtId="14" showAll="0">
      <items count="200">
        <item x="165"/>
        <item x="107"/>
        <item x="34"/>
        <item x="167"/>
        <item x="150"/>
        <item x="83"/>
        <item x="172"/>
        <item x="71"/>
        <item x="162"/>
        <item x="186"/>
        <item x="60"/>
        <item x="1"/>
        <item x="43"/>
        <item x="168"/>
        <item x="86"/>
        <item x="85"/>
        <item x="2"/>
        <item x="42"/>
        <item x="77"/>
        <item x="130"/>
        <item x="90"/>
        <item x="32"/>
        <item x="178"/>
        <item x="59"/>
        <item x="16"/>
        <item x="5"/>
        <item x="184"/>
        <item x="156"/>
        <item x="114"/>
        <item x="29"/>
        <item x="73"/>
        <item x="36"/>
        <item x="17"/>
        <item x="123"/>
        <item x="9"/>
        <item x="93"/>
        <item x="161"/>
        <item x="52"/>
        <item x="33"/>
        <item x="97"/>
        <item x="180"/>
        <item x="122"/>
        <item x="35"/>
        <item x="6"/>
        <item x="96"/>
        <item x="160"/>
        <item x="45"/>
        <item x="138"/>
        <item x="121"/>
        <item x="13"/>
        <item x="110"/>
        <item x="163"/>
        <item x="171"/>
        <item x="98"/>
        <item x="24"/>
        <item x="81"/>
        <item x="88"/>
        <item x="89"/>
        <item x="12"/>
        <item x="175"/>
        <item x="10"/>
        <item x="152"/>
        <item x="25"/>
        <item x="79"/>
        <item x="111"/>
        <item x="117"/>
        <item x="198"/>
        <item x="19"/>
        <item x="174"/>
        <item x="0"/>
        <item x="75"/>
        <item x="40"/>
        <item x="31"/>
        <item x="141"/>
        <item x="37"/>
        <item x="119"/>
        <item x="170"/>
        <item x="101"/>
        <item x="63"/>
        <item x="78"/>
        <item x="4"/>
        <item x="192"/>
        <item x="56"/>
        <item x="87"/>
        <item x="146"/>
        <item x="118"/>
        <item x="113"/>
        <item x="57"/>
        <item x="116"/>
        <item x="84"/>
        <item x="50"/>
        <item x="15"/>
        <item x="157"/>
        <item x="131"/>
        <item x="8"/>
        <item x="126"/>
        <item x="189"/>
        <item x="104"/>
        <item x="91"/>
        <item x="154"/>
        <item x="193"/>
        <item x="144"/>
        <item x="62"/>
        <item x="92"/>
        <item x="39"/>
        <item x="66"/>
        <item x="190"/>
        <item x="82"/>
        <item x="100"/>
        <item x="55"/>
        <item x="164"/>
        <item x="132"/>
        <item x="143"/>
        <item x="46"/>
        <item x="149"/>
        <item x="3"/>
        <item x="176"/>
        <item x="106"/>
        <item x="14"/>
        <item x="68"/>
        <item x="102"/>
        <item x="191"/>
        <item x="196"/>
        <item x="22"/>
        <item x="151"/>
        <item x="133"/>
        <item x="120"/>
        <item x="148"/>
        <item x="197"/>
        <item x="64"/>
        <item x="124"/>
        <item x="94"/>
        <item x="69"/>
        <item x="26"/>
        <item x="99"/>
        <item x="65"/>
        <item x="173"/>
        <item x="155"/>
        <item x="105"/>
        <item x="147"/>
        <item x="72"/>
        <item x="153"/>
        <item x="177"/>
        <item x="48"/>
        <item x="159"/>
        <item x="21"/>
        <item x="169"/>
        <item x="44"/>
        <item x="11"/>
        <item x="28"/>
        <item x="38"/>
        <item x="95"/>
        <item x="41"/>
        <item x="136"/>
        <item x="115"/>
        <item x="80"/>
        <item x="140"/>
        <item x="108"/>
        <item x="109"/>
        <item x="103"/>
        <item x="49"/>
        <item x="74"/>
        <item x="127"/>
        <item x="23"/>
        <item x="27"/>
        <item x="53"/>
        <item x="187"/>
        <item x="195"/>
        <item x="70"/>
        <item x="18"/>
        <item x="188"/>
        <item x="179"/>
        <item x="183"/>
        <item x="139"/>
        <item x="145"/>
        <item x="67"/>
        <item x="142"/>
        <item x="134"/>
        <item x="166"/>
        <item x="7"/>
        <item x="30"/>
        <item x="20"/>
        <item x="135"/>
        <item x="181"/>
        <item x="58"/>
        <item x="47"/>
        <item x="194"/>
        <item x="182"/>
        <item x="61"/>
        <item x="51"/>
        <item x="54"/>
        <item x="137"/>
        <item x="76"/>
        <item x="125"/>
        <item x="128"/>
        <item x="158"/>
        <item x="112"/>
        <item x="129"/>
        <item x="185"/>
        <item t="default"/>
      </items>
    </pivotField>
    <pivotField showAll="0">
      <items count="5">
        <item x="0"/>
        <item x="3"/>
        <item x="2"/>
        <item x="1"/>
        <item t="default"/>
      </items>
    </pivotField>
    <pivotField showAll="0"/>
    <pivotField showAll="0"/>
    <pivotField dataField="1" showAll="0">
      <items count="295">
        <item x="89"/>
        <item x="216"/>
        <item x="27"/>
        <item x="90"/>
        <item x="69"/>
        <item x="180"/>
        <item x="205"/>
        <item x="130"/>
        <item x="104"/>
        <item x="222"/>
        <item x="83"/>
        <item x="138"/>
        <item x="1"/>
        <item x="75"/>
        <item x="3"/>
        <item x="2"/>
        <item x="207"/>
        <item x="234"/>
        <item x="211"/>
        <item x="100"/>
        <item x="248"/>
        <item x="32"/>
        <item x="160"/>
        <item x="46"/>
        <item x="171"/>
        <item x="213"/>
        <item x="6"/>
        <item x="242"/>
        <item x="112"/>
        <item x="115"/>
        <item x="280"/>
        <item x="220"/>
        <item x="52"/>
        <item x="108"/>
        <item x="107"/>
        <item x="97"/>
        <item x="237"/>
        <item x="246"/>
        <item x="19"/>
        <item x="194"/>
        <item x="81"/>
        <item x="93"/>
        <item x="135"/>
        <item x="258"/>
        <item x="289"/>
        <item x="127"/>
        <item x="92"/>
        <item x="143"/>
        <item x="60"/>
        <item x="238"/>
        <item x="65"/>
        <item x="34"/>
        <item x="179"/>
        <item x="10"/>
        <item x="18"/>
        <item x="224"/>
        <item x="285"/>
        <item x="22"/>
        <item x="268"/>
        <item x="218"/>
        <item x="94"/>
        <item x="99"/>
        <item x="219"/>
        <item x="223"/>
        <item x="162"/>
        <item x="140"/>
        <item x="189"/>
        <item x="212"/>
        <item x="129"/>
        <item x="275"/>
        <item x="36"/>
        <item x="293"/>
        <item x="151"/>
        <item x="191"/>
        <item x="169"/>
        <item x="235"/>
        <item x="244"/>
        <item x="133"/>
        <item x="96"/>
        <item x="164"/>
        <item x="227"/>
        <item x="153"/>
        <item x="209"/>
        <item x="126"/>
        <item x="79"/>
        <item x="247"/>
        <item x="158"/>
        <item x="245"/>
        <item x="31"/>
        <item x="110"/>
        <item x="272"/>
        <item x="195"/>
        <item x="142"/>
        <item x="58"/>
        <item x="147"/>
        <item x="161"/>
        <item x="54"/>
        <item x="290"/>
        <item x="124"/>
        <item x="165"/>
        <item x="105"/>
        <item x="137"/>
        <item x="193"/>
        <item x="166"/>
        <item x="76"/>
        <item x="5"/>
        <item x="204"/>
        <item x="271"/>
        <item x="9"/>
        <item x="47"/>
        <item x="109"/>
        <item x="119"/>
        <item x="149"/>
        <item x="70"/>
        <item x="154"/>
        <item x="85"/>
        <item x="240"/>
        <item x="155"/>
        <item x="71"/>
        <item x="197"/>
        <item x="30"/>
        <item x="66"/>
        <item x="181"/>
        <item x="132"/>
        <item x="190"/>
        <item x="176"/>
        <item x="156"/>
        <item x="260"/>
        <item x="86"/>
        <item x="56"/>
        <item x="74"/>
        <item x="8"/>
        <item x="172"/>
        <item x="73"/>
        <item x="167"/>
        <item x="252"/>
        <item x="202"/>
        <item x="221"/>
        <item x="279"/>
        <item x="198"/>
        <item x="251"/>
        <item x="7"/>
        <item x="42"/>
        <item x="48"/>
        <item x="286"/>
        <item x="274"/>
        <item x="13"/>
        <item x="72"/>
        <item x="51"/>
        <item x="45"/>
        <item x="33"/>
        <item x="277"/>
        <item x="173"/>
        <item x="114"/>
        <item x="201"/>
        <item x="291"/>
        <item x="111"/>
        <item x="11"/>
        <item x="174"/>
        <item x="183"/>
        <item x="276"/>
        <item x="91"/>
        <item x="59"/>
        <item x="159"/>
        <item x="267"/>
        <item x="40"/>
        <item x="292"/>
        <item x="16"/>
        <item x="145"/>
        <item x="49"/>
        <item x="84"/>
        <item x="266"/>
        <item x="228"/>
        <item x="144"/>
        <item x="281"/>
        <item x="214"/>
        <item x="87"/>
        <item x="95"/>
        <item x="62"/>
        <item x="82"/>
        <item x="215"/>
        <item x="175"/>
        <item x="185"/>
        <item x="282"/>
        <item x="264"/>
        <item x="226"/>
        <item x="177"/>
        <item x="273"/>
        <item x="225"/>
        <item x="0"/>
        <item x="12"/>
        <item x="157"/>
        <item x="186"/>
        <item x="98"/>
        <item x="38"/>
        <item x="55"/>
        <item x="50"/>
        <item x="24"/>
        <item x="23"/>
        <item x="120"/>
        <item x="128"/>
        <item x="68"/>
        <item x="257"/>
        <item x="283"/>
        <item x="77"/>
        <item x="168"/>
        <item x="150"/>
        <item x="203"/>
        <item x="131"/>
        <item x="284"/>
        <item x="184"/>
        <item x="243"/>
        <item x="288"/>
        <item x="64"/>
        <item x="125"/>
        <item x="192"/>
        <item x="122"/>
        <item x="14"/>
        <item x="53"/>
        <item x="200"/>
        <item x="249"/>
        <item x="178"/>
        <item x="118"/>
        <item x="196"/>
        <item x="287"/>
        <item x="239"/>
        <item x="148"/>
        <item x="61"/>
        <item x="25"/>
        <item x="265"/>
        <item x="255"/>
        <item x="21"/>
        <item x="102"/>
        <item x="259"/>
        <item x="199"/>
        <item x="152"/>
        <item x="236"/>
        <item x="103"/>
        <item x="63"/>
        <item x="20"/>
        <item x="187"/>
        <item x="57"/>
        <item x="261"/>
        <item x="37"/>
        <item x="270"/>
        <item x="232"/>
        <item x="241"/>
        <item x="229"/>
        <item x="121"/>
        <item x="206"/>
        <item x="123"/>
        <item x="41"/>
        <item x="188"/>
        <item x="17"/>
        <item x="141"/>
        <item x="26"/>
        <item x="15"/>
        <item x="139"/>
        <item x="208"/>
        <item x="43"/>
        <item x="35"/>
        <item x="44"/>
        <item x="113"/>
        <item x="217"/>
        <item x="254"/>
        <item x="78"/>
        <item x="182"/>
        <item x="39"/>
        <item x="117"/>
        <item x="210"/>
        <item x="146"/>
        <item x="106"/>
        <item x="136"/>
        <item x="4"/>
        <item x="29"/>
        <item x="88"/>
        <item x="163"/>
        <item x="230"/>
        <item x="80"/>
        <item x="278"/>
        <item x="231"/>
        <item x="269"/>
        <item x="170"/>
        <item x="101"/>
        <item x="233"/>
        <item x="28"/>
        <item x="262"/>
        <item x="134"/>
        <item x="116"/>
        <item x="250"/>
        <item x="263"/>
        <item x="256"/>
        <item x="253"/>
        <item x="67"/>
        <item t="default"/>
      </items>
    </pivotField>
    <pivotField showAll="0"/>
    <pivotField showAll="0"/>
    <pivotField showAll="0"/>
    <pivotField showAll="0"/>
    <pivotField showAll="0"/>
    <pivotField showAll="0"/>
    <pivotField showAll="0">
      <items count="4">
        <item x="2"/>
        <item x="1"/>
        <item x="0"/>
        <item t="default"/>
      </items>
    </pivotField>
    <pivotField showAll="0"/>
    <pivotField showAll="0" defaultSubtotal="0"/>
    <pivotField showAll="0" defaultSubtotal="0">
      <items count="14">
        <item h="1" x="0"/>
        <item h="1" x="1"/>
        <item x="2"/>
        <item h="1" x="3"/>
        <item h="1" x="4"/>
        <item h="1" x="5"/>
        <item h="1" x="6"/>
        <item h="1" x="7"/>
        <item h="1" x="8"/>
        <item h="1" x="9"/>
        <item h="1" x="10"/>
        <item h="1" x="11"/>
        <item h="1" x="12"/>
        <item h="1" x="13"/>
      </items>
    </pivotField>
  </pivotFields>
  <rowItems count="1">
    <i/>
  </rowItems>
  <colItems count="1">
    <i/>
  </colItems>
  <dataFields count="1">
    <dataField name="Count of Product"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2280F0E-6864-4C3F-A30D-BD850C8EF197}"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2:I23" firstHeaderRow="1" firstDataRow="1" firstDataCol="0"/>
  <pivotFields count="16">
    <pivotField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t="default"/>
      </items>
    </pivotField>
    <pivotField numFmtId="14" showAll="0">
      <items count="200">
        <item x="165"/>
        <item x="107"/>
        <item x="34"/>
        <item x="167"/>
        <item x="150"/>
        <item x="83"/>
        <item x="172"/>
        <item x="71"/>
        <item x="162"/>
        <item x="186"/>
        <item x="60"/>
        <item x="1"/>
        <item x="43"/>
        <item x="168"/>
        <item x="86"/>
        <item x="85"/>
        <item x="2"/>
        <item x="42"/>
        <item x="77"/>
        <item x="130"/>
        <item x="90"/>
        <item x="32"/>
        <item x="178"/>
        <item x="59"/>
        <item x="16"/>
        <item x="5"/>
        <item x="184"/>
        <item x="156"/>
        <item x="114"/>
        <item x="29"/>
        <item x="73"/>
        <item x="36"/>
        <item x="17"/>
        <item x="123"/>
        <item x="9"/>
        <item x="93"/>
        <item x="161"/>
        <item x="52"/>
        <item x="33"/>
        <item x="97"/>
        <item x="180"/>
        <item x="122"/>
        <item x="35"/>
        <item x="6"/>
        <item x="96"/>
        <item x="160"/>
        <item x="45"/>
        <item x="138"/>
        <item x="121"/>
        <item x="13"/>
        <item x="110"/>
        <item x="163"/>
        <item x="171"/>
        <item x="98"/>
        <item x="24"/>
        <item x="81"/>
        <item x="88"/>
        <item x="89"/>
        <item x="12"/>
        <item x="175"/>
        <item x="10"/>
        <item x="152"/>
        <item x="25"/>
        <item x="79"/>
        <item x="111"/>
        <item x="117"/>
        <item x="198"/>
        <item x="19"/>
        <item x="174"/>
        <item x="0"/>
        <item x="75"/>
        <item x="40"/>
        <item x="31"/>
        <item x="141"/>
        <item x="37"/>
        <item x="119"/>
        <item x="170"/>
        <item x="101"/>
        <item x="63"/>
        <item x="78"/>
        <item x="4"/>
        <item x="192"/>
        <item x="56"/>
        <item x="87"/>
        <item x="146"/>
        <item x="118"/>
        <item x="113"/>
        <item x="57"/>
        <item x="116"/>
        <item x="84"/>
        <item x="50"/>
        <item x="15"/>
        <item x="157"/>
        <item x="131"/>
        <item x="8"/>
        <item x="126"/>
        <item x="189"/>
        <item x="104"/>
        <item x="91"/>
        <item x="154"/>
        <item x="193"/>
        <item x="144"/>
        <item x="62"/>
        <item x="92"/>
        <item x="39"/>
        <item x="66"/>
        <item x="190"/>
        <item x="82"/>
        <item x="100"/>
        <item x="55"/>
        <item x="164"/>
        <item x="132"/>
        <item x="143"/>
        <item x="46"/>
        <item x="149"/>
        <item x="3"/>
        <item x="176"/>
        <item x="106"/>
        <item x="14"/>
        <item x="68"/>
        <item x="102"/>
        <item x="191"/>
        <item x="196"/>
        <item x="22"/>
        <item x="151"/>
        <item x="133"/>
        <item x="120"/>
        <item x="148"/>
        <item x="197"/>
        <item x="64"/>
        <item x="124"/>
        <item x="94"/>
        <item x="69"/>
        <item x="26"/>
        <item x="99"/>
        <item x="65"/>
        <item x="173"/>
        <item x="155"/>
        <item x="105"/>
        <item x="147"/>
        <item x="72"/>
        <item x="153"/>
        <item x="177"/>
        <item x="48"/>
        <item x="159"/>
        <item x="21"/>
        <item x="169"/>
        <item x="44"/>
        <item x="11"/>
        <item x="28"/>
        <item x="38"/>
        <item x="95"/>
        <item x="41"/>
        <item x="136"/>
        <item x="115"/>
        <item x="80"/>
        <item x="140"/>
        <item x="108"/>
        <item x="109"/>
        <item x="103"/>
        <item x="49"/>
        <item x="74"/>
        <item x="127"/>
        <item x="23"/>
        <item x="27"/>
        <item x="53"/>
        <item x="187"/>
        <item x="195"/>
        <item x="70"/>
        <item x="18"/>
        <item x="188"/>
        <item x="179"/>
        <item x="183"/>
        <item x="139"/>
        <item x="145"/>
        <item x="67"/>
        <item x="142"/>
        <item x="134"/>
        <item x="166"/>
        <item x="7"/>
        <item x="30"/>
        <item x="20"/>
        <item x="135"/>
        <item x="181"/>
        <item x="58"/>
        <item x="47"/>
        <item x="194"/>
        <item x="182"/>
        <item x="61"/>
        <item x="51"/>
        <item x="54"/>
        <item x="137"/>
        <item x="76"/>
        <item x="125"/>
        <item x="128"/>
        <item x="158"/>
        <item x="112"/>
        <item x="129"/>
        <item x="185"/>
        <item t="default"/>
      </items>
    </pivotField>
    <pivotField showAll="0">
      <items count="5">
        <item x="0"/>
        <item x="3"/>
        <item x="2"/>
        <item x="1"/>
        <item t="default"/>
      </items>
    </pivotField>
    <pivotField showAll="0"/>
    <pivotField showAll="0">
      <items count="10">
        <item x="1"/>
        <item x="4"/>
        <item x="8"/>
        <item x="3"/>
        <item x="5"/>
        <item x="0"/>
        <item x="6"/>
        <item x="7"/>
        <item x="2"/>
        <item t="default"/>
      </items>
    </pivotField>
    <pivotField showAll="0">
      <items count="295">
        <item x="89"/>
        <item x="216"/>
        <item x="27"/>
        <item x="90"/>
        <item x="69"/>
        <item x="180"/>
        <item x="205"/>
        <item x="130"/>
        <item x="104"/>
        <item x="222"/>
        <item x="83"/>
        <item x="138"/>
        <item x="1"/>
        <item x="75"/>
        <item x="3"/>
        <item x="2"/>
        <item x="207"/>
        <item x="234"/>
        <item x="211"/>
        <item x="100"/>
        <item x="248"/>
        <item x="32"/>
        <item x="160"/>
        <item x="46"/>
        <item x="171"/>
        <item x="213"/>
        <item x="6"/>
        <item x="242"/>
        <item x="112"/>
        <item x="115"/>
        <item x="280"/>
        <item x="220"/>
        <item x="52"/>
        <item x="108"/>
        <item x="107"/>
        <item x="97"/>
        <item x="237"/>
        <item x="246"/>
        <item x="19"/>
        <item x="194"/>
        <item x="81"/>
        <item x="93"/>
        <item x="135"/>
        <item x="258"/>
        <item x="289"/>
        <item x="127"/>
        <item x="92"/>
        <item x="143"/>
        <item x="60"/>
        <item x="238"/>
        <item x="65"/>
        <item x="34"/>
        <item x="179"/>
        <item x="10"/>
        <item x="18"/>
        <item x="224"/>
        <item x="285"/>
        <item x="22"/>
        <item x="268"/>
        <item x="218"/>
        <item x="94"/>
        <item x="99"/>
        <item x="219"/>
        <item x="223"/>
        <item x="162"/>
        <item x="140"/>
        <item x="189"/>
        <item x="212"/>
        <item x="129"/>
        <item x="275"/>
        <item x="36"/>
        <item x="293"/>
        <item x="151"/>
        <item x="191"/>
        <item x="169"/>
        <item x="235"/>
        <item x="244"/>
        <item x="133"/>
        <item x="96"/>
        <item x="164"/>
        <item x="227"/>
        <item x="153"/>
        <item x="209"/>
        <item x="126"/>
        <item x="79"/>
        <item x="247"/>
        <item x="158"/>
        <item x="245"/>
        <item x="31"/>
        <item x="110"/>
        <item x="272"/>
        <item x="195"/>
        <item x="142"/>
        <item x="58"/>
        <item x="147"/>
        <item x="161"/>
        <item x="54"/>
        <item x="290"/>
        <item x="124"/>
        <item x="165"/>
        <item x="105"/>
        <item x="137"/>
        <item x="193"/>
        <item x="166"/>
        <item x="76"/>
        <item x="5"/>
        <item x="204"/>
        <item x="271"/>
        <item x="9"/>
        <item x="47"/>
        <item x="109"/>
        <item x="119"/>
        <item x="149"/>
        <item x="70"/>
        <item x="154"/>
        <item x="85"/>
        <item x="240"/>
        <item x="155"/>
        <item x="71"/>
        <item x="197"/>
        <item x="30"/>
        <item x="66"/>
        <item x="181"/>
        <item x="132"/>
        <item x="190"/>
        <item x="176"/>
        <item x="156"/>
        <item x="260"/>
        <item x="86"/>
        <item x="56"/>
        <item x="74"/>
        <item x="8"/>
        <item x="172"/>
        <item x="73"/>
        <item x="167"/>
        <item x="252"/>
        <item x="202"/>
        <item x="221"/>
        <item x="279"/>
        <item x="198"/>
        <item x="251"/>
        <item x="7"/>
        <item x="42"/>
        <item x="48"/>
        <item x="286"/>
        <item x="274"/>
        <item x="13"/>
        <item x="72"/>
        <item x="51"/>
        <item x="45"/>
        <item x="33"/>
        <item x="277"/>
        <item x="173"/>
        <item x="114"/>
        <item x="201"/>
        <item x="291"/>
        <item x="111"/>
        <item x="11"/>
        <item x="174"/>
        <item x="183"/>
        <item x="276"/>
        <item x="91"/>
        <item x="59"/>
        <item x="159"/>
        <item x="267"/>
        <item x="40"/>
        <item x="292"/>
        <item x="16"/>
        <item x="145"/>
        <item x="49"/>
        <item x="84"/>
        <item x="266"/>
        <item x="228"/>
        <item x="144"/>
        <item x="281"/>
        <item x="214"/>
        <item x="87"/>
        <item x="95"/>
        <item x="62"/>
        <item x="82"/>
        <item x="215"/>
        <item x="175"/>
        <item x="185"/>
        <item x="282"/>
        <item x="264"/>
        <item x="226"/>
        <item x="177"/>
        <item x="273"/>
        <item x="225"/>
        <item x="0"/>
        <item x="12"/>
        <item x="157"/>
        <item x="186"/>
        <item x="98"/>
        <item x="38"/>
        <item x="55"/>
        <item x="50"/>
        <item x="24"/>
        <item x="23"/>
        <item x="120"/>
        <item x="128"/>
        <item x="68"/>
        <item x="257"/>
        <item x="283"/>
        <item x="77"/>
        <item x="168"/>
        <item x="150"/>
        <item x="203"/>
        <item x="131"/>
        <item x="284"/>
        <item x="184"/>
        <item x="243"/>
        <item x="288"/>
        <item x="64"/>
        <item x="125"/>
        <item x="192"/>
        <item x="122"/>
        <item x="14"/>
        <item x="53"/>
        <item x="200"/>
        <item x="249"/>
        <item x="178"/>
        <item x="118"/>
        <item x="196"/>
        <item x="287"/>
        <item x="239"/>
        <item x="148"/>
        <item x="61"/>
        <item x="25"/>
        <item x="265"/>
        <item x="255"/>
        <item x="21"/>
        <item x="102"/>
        <item x="259"/>
        <item x="199"/>
        <item x="152"/>
        <item x="236"/>
        <item x="103"/>
        <item x="63"/>
        <item x="20"/>
        <item x="187"/>
        <item x="57"/>
        <item x="261"/>
        <item x="37"/>
        <item x="270"/>
        <item x="232"/>
        <item x="241"/>
        <item x="229"/>
        <item x="121"/>
        <item x="206"/>
        <item x="123"/>
        <item x="41"/>
        <item x="188"/>
        <item x="17"/>
        <item x="141"/>
        <item x="26"/>
        <item x="15"/>
        <item x="139"/>
        <item x="208"/>
        <item x="43"/>
        <item x="35"/>
        <item x="44"/>
        <item x="113"/>
        <item x="217"/>
        <item x="254"/>
        <item x="78"/>
        <item x="182"/>
        <item x="39"/>
        <item x="117"/>
        <item x="210"/>
        <item x="146"/>
        <item x="106"/>
        <item x="136"/>
        <item x="4"/>
        <item x="29"/>
        <item x="88"/>
        <item x="163"/>
        <item x="230"/>
        <item x="80"/>
        <item x="278"/>
        <item x="231"/>
        <item x="269"/>
        <item x="170"/>
        <item x="101"/>
        <item x="233"/>
        <item x="28"/>
        <item x="262"/>
        <item x="134"/>
        <item x="116"/>
        <item x="250"/>
        <item x="263"/>
        <item x="256"/>
        <item x="253"/>
        <item x="67"/>
        <item t="default"/>
      </items>
    </pivotField>
    <pivotField showAll="0">
      <items count="7">
        <item x="0"/>
        <item x="3"/>
        <item x="1"/>
        <item x="5"/>
        <item x="2"/>
        <item x="4"/>
        <item t="default"/>
      </items>
    </pivotField>
    <pivotField dataField="1" showAll="0">
      <items count="21">
        <item x="1"/>
        <item x="10"/>
        <item x="3"/>
        <item x="5"/>
        <item x="12"/>
        <item x="15"/>
        <item x="4"/>
        <item x="19"/>
        <item x="7"/>
        <item x="9"/>
        <item x="8"/>
        <item x="0"/>
        <item x="17"/>
        <item x="11"/>
        <item x="2"/>
        <item x="6"/>
        <item x="13"/>
        <item x="18"/>
        <item x="14"/>
        <item x="16"/>
        <item t="default"/>
      </items>
    </pivotField>
    <pivotField showAll="0"/>
    <pivotField showAll="0"/>
    <pivotField showAll="0"/>
    <pivotField showAll="0"/>
    <pivotField showAll="0">
      <items count="4">
        <item x="2"/>
        <item x="1"/>
        <item x="0"/>
        <item t="default"/>
      </items>
    </pivotField>
    <pivotField showAll="0">
      <items count="5">
        <item x="3"/>
        <item x="1"/>
        <item x="2"/>
        <item x="0"/>
        <item t="default"/>
      </items>
    </pivotField>
    <pivotField showAll="0" defaultSubtotal="0"/>
    <pivotField showAll="0" defaultSubtotal="0">
      <items count="14">
        <item h="1" x="0"/>
        <item h="1" x="1"/>
        <item x="2"/>
        <item h="1" x="3"/>
        <item h="1" x="4"/>
        <item h="1" x="5"/>
        <item h="1" x="6"/>
        <item h="1" x="7"/>
        <item h="1" x="8"/>
        <item h="1" x="9"/>
        <item h="1" x="10"/>
        <item h="1" x="11"/>
        <item h="1" x="12"/>
        <item h="1" x="13"/>
      </items>
    </pivotField>
  </pivotFields>
  <rowItems count="1">
    <i/>
  </rowItems>
  <colItems count="1">
    <i/>
  </colItems>
  <dataFields count="1">
    <dataField name="Sum of quantity "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FE11AE5A-3067-444B-A159-A9BF11EB1D11}" sourceName="Category">
  <pivotTables>
    <pivotTable tabId="2" name="PivotTable2"/>
    <pivotTable tabId="2" name="PivotTable3"/>
    <pivotTable tabId="2" name="PivotTable4"/>
    <pivotTable tabId="2" name="PivotTable5"/>
  </pivotTables>
  <data>
    <tabular pivotCacheId="614183357">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8978489F-545C-4D7E-83FC-50ADB9A8F09B}" sourceName="Sub Category">
  <pivotTables>
    <pivotTable tabId="2" name="PivotTable4"/>
    <pivotTable tabId="2" name="PivotTable2"/>
    <pivotTable tabId="2" name="PivotTable3"/>
    <pivotTable tabId="2" name="PivotTable5"/>
  </pivotTables>
  <data>
    <tabular pivotCacheId="614183357">
      <items count="9">
        <i x="1" s="1"/>
        <i x="4" s="1"/>
        <i x="8" s="1"/>
        <i x="3" s="1"/>
        <i x="5" s="1"/>
        <i x="0" s="1"/>
        <i x="7" s="1"/>
        <i x="2" s="1"/>
        <i x="6"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5845AD3-EB17-45D5-8971-ACA75401FBFF}" sourceName="Region">
  <pivotTables>
    <pivotTable tabId="2" name="PivotTable3"/>
    <pivotTable tabId="2" name="PivotTable2"/>
    <pivotTable tabId="2" name="PivotTable4"/>
    <pivotTable tabId="2" name="PivotTable5"/>
    <pivotTable tabId="2" name="PivotTable10"/>
    <pivotTable tabId="2" name="PivotTable11"/>
    <pivotTable tabId="2" name="PivotTable9"/>
  </pivotTables>
  <data>
    <tabular pivotCacheId="614183357">
      <items count="4">
        <i x="0" s="1"/>
        <i x="3"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 xr10:uid="{B14CD621-CAD4-49E9-BA65-98851964AF7E}" sourceName="[Range].[Payment]">
  <pivotTables>
    <pivotTable tabId="2" name="PivotTable6"/>
  </pivotTables>
  <data>
    <olap pivotCacheId="1300200335">
      <levels count="2">
        <level uniqueName="[Range].[Payment].[(All)]" sourceCaption="(All)" count="0"/>
        <level uniqueName="[Range].[Payment].[Payment]" sourceCaption="Payment" count="4">
          <ranges>
            <range startItem="0">
              <i n="[Range].[Payment].&amp;[Card]" c="Card"/>
              <i n="[Range].[Payment].&amp;[Cash]" c="Cash"/>
              <i n="[Range].[Payment].&amp;[Net Banking]" c="Net Banking"/>
              <i n="[Range].[Payment].&amp;[UPI]" c="UPI"/>
            </range>
          </ranges>
        </level>
      </levels>
      <selections count="1">
        <selection n="[Range].[Payment].[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FF49711A-9F20-43CC-9A11-3EDD9A591849}" sourceName="Months (Date)">
  <pivotTables>
    <pivotTable tabId="2" name="PivotTable2"/>
    <pivotTable tabId="2" name="PivotTable3"/>
    <pivotTable tabId="2" name="PivotTable4"/>
    <pivotTable tabId="2" name="PivotTable5"/>
    <pivotTable tabId="2" name="PivotTable10"/>
    <pivotTable tabId="2" name="PivotTable11"/>
    <pivotTable tabId="2" name="PivotTable9"/>
  </pivotTables>
  <data>
    <tabular pivotCacheId="614183357">
      <items count="14">
        <i x="1"/>
        <i x="2" s="1"/>
        <i x="3"/>
        <i x="4"/>
        <i x="5"/>
        <i x="6"/>
        <i x="7"/>
        <i x="8"/>
        <i x="9"/>
        <i x="10"/>
        <i x="11"/>
        <i x="12"/>
        <i x="0" nd="1"/>
        <i x="13"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Type" xr10:uid="{3B5D3253-DCBB-426C-9ECF-A2DC917AA308}" sourceName="CustomerType">
  <pivotTables>
    <pivotTable tabId="2" name="PivotTable5"/>
    <pivotTable tabId="2" name="PivotTable2"/>
    <pivotTable tabId="2" name="PivotTable3"/>
    <pivotTable tabId="2" name="PivotTable4"/>
    <pivotTable tabId="2" name="PivotTable10"/>
    <pivotTable tabId="2" name="PivotTable11"/>
    <pivotTable tabId="2" name="PivotTable9"/>
  </pivotTables>
  <data>
    <tabular pivotCacheId="614183357">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90B1885-9E41-401F-9688-301F995C1411}" cache="Slicer_Category" caption="Category" rowHeight="234950"/>
  <slicer name="Region" xr10:uid="{B34D54FE-02B5-4D18-900A-C57A58617BC9}" cache="Slicer_Region" caption="Region" rowHeight="234950"/>
  <slicer name="Payment" xr10:uid="{1DB7AC89-2A52-445A-9380-3B05E5C2419C}" cache="Slicer_Payment" caption="Payment" level="1" rowHeight="234950"/>
  <slicer name="Months (Date)" xr10:uid="{0F1FFBF8-7103-453E-AB2D-77CD6A7D3E6A}" cache="Slicer_Months__Date" caption="Months (Date)" startItem="7" rowHeight="234950"/>
  <slicer name="CustomerType" xr10:uid="{9D937A28-D7C8-4379-A2C1-62AB56B5D356}" cache="Slicer_CustomerType" caption="CustomerTyp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19A0B955-ECBE-490F-A935-F50D4E694D04}" cache="Slicer_Category" caption="Category" rowHeight="234950"/>
  <slicer name="Sub Category 1" xr10:uid="{691D3D59-29A5-4E41-AFA7-4B43ED5DFB06}" cache="Slicer_Sub_Category" caption="Sub Category" rowHeight="234950"/>
  <slicer name="Region 1" xr10:uid="{CBEEF200-A748-4444-9F40-44A1A284FDF3}" cache="Slicer_Region" caption="Region" rowHeight="234950"/>
  <slicer name="Months (Date) 1" xr10:uid="{F7FFC0F6-BD43-45F8-BECF-B2D95AF29427}" cache="Slicer_Months__Date" caption="Months (Date)" startItem="4" rowHeight="234950"/>
  <slicer name="CustomerType 1" xr10:uid="{4A752D65-2547-465F-A955-E7807C519D75}" cache="Slicer_CustomerType" caption="CustomerType"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9E9479AB-866F-4561-A510-65BED1D8A8F3}" cache="Slicer_Region" caption="Region" style="SlicerStyleLight2" rowHeight="234950"/>
  <slicer name="Months (Date) 2" xr10:uid="{7BAE4903-2446-4241-8289-F564B553A1D4}" cache="Slicer_Months__Date" caption="Months (Date)" startItem="1" style="SlicerStyleLight2" rowHeight="234950"/>
  <slicer name="CustomerType 2" xr10:uid="{D6ACB9BB-077D-451C-8BDA-BB8F9E0C9579}" cache="Slicer_CustomerType" caption="CustomerType" style="SlicerStyleLight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D618A-1B14-40FD-9A2F-290342E7A2D8}">
  <sheetPr codeName="Sheet1"/>
  <dimension ref="A1:N401"/>
  <sheetViews>
    <sheetView zoomScale="95" workbookViewId="0">
      <pane ySplit="1" topLeftCell="A2" activePane="bottomLeft" state="frozen"/>
      <selection pane="bottomLeft" activeCell="Q6" sqref="Q6"/>
    </sheetView>
  </sheetViews>
  <sheetFormatPr defaultRowHeight="14.4" x14ac:dyDescent="0.3"/>
  <cols>
    <col min="1" max="1" width="7.5546875" bestFit="1" customWidth="1"/>
    <col min="2" max="2" width="10.33203125" bestFit="1" customWidth="1"/>
    <col min="3" max="3" width="6.77734375" bestFit="1" customWidth="1"/>
    <col min="4" max="4" width="9.88671875" bestFit="1" customWidth="1"/>
    <col min="5" max="5" width="12.21875" bestFit="1" customWidth="1"/>
    <col min="6" max="6" width="20.44140625" bestFit="1" customWidth="1"/>
    <col min="7" max="7" width="11.44140625" bestFit="1" customWidth="1"/>
    <col min="8" max="8" width="8.5546875" bestFit="1" customWidth="1"/>
    <col min="9" max="9" width="8" bestFit="1" customWidth="1"/>
    <col min="10" max="12" width="9" bestFit="1" customWidth="1"/>
    <col min="13" max="13" width="13.33203125" bestFit="1" customWidth="1"/>
    <col min="14" max="14" width="18.88671875" customWidth="1"/>
  </cols>
  <sheetData>
    <row r="1" spans="1:14" x14ac:dyDescent="0.3">
      <c r="A1" s="5" t="s">
        <v>0</v>
      </c>
      <c r="B1" s="6" t="s">
        <v>1</v>
      </c>
      <c r="C1" s="6" t="s">
        <v>2</v>
      </c>
      <c r="D1" s="6" t="s">
        <v>3</v>
      </c>
      <c r="E1" s="6" t="s">
        <v>334</v>
      </c>
      <c r="F1" s="6" t="s">
        <v>4</v>
      </c>
      <c r="G1" s="6" t="s">
        <v>333</v>
      </c>
      <c r="H1" s="6" t="s">
        <v>335</v>
      </c>
      <c r="I1" s="6" t="s">
        <v>336</v>
      </c>
      <c r="J1" s="6" t="s">
        <v>5</v>
      </c>
      <c r="K1" s="6" t="s">
        <v>6</v>
      </c>
      <c r="L1" s="6" t="s">
        <v>7</v>
      </c>
      <c r="M1" s="6" t="s">
        <v>8</v>
      </c>
      <c r="N1" s="7" t="s">
        <v>9</v>
      </c>
    </row>
    <row r="2" spans="1:14" x14ac:dyDescent="0.3">
      <c r="A2" s="8">
        <v>10001</v>
      </c>
      <c r="B2" s="9">
        <v>45788</v>
      </c>
      <c r="C2" s="10" t="s">
        <v>10</v>
      </c>
      <c r="D2" s="10" t="s">
        <v>11</v>
      </c>
      <c r="E2" s="10" t="s">
        <v>12</v>
      </c>
      <c r="F2" s="10" t="s">
        <v>13</v>
      </c>
      <c r="G2" s="10" t="s">
        <v>14</v>
      </c>
      <c r="H2" s="10">
        <v>12</v>
      </c>
      <c r="I2" s="10">
        <v>498.97</v>
      </c>
      <c r="J2" s="10">
        <v>5987.64</v>
      </c>
      <c r="K2" s="10">
        <v>4049.87</v>
      </c>
      <c r="L2" s="10">
        <v>1937.77</v>
      </c>
      <c r="M2" s="10" t="s">
        <v>15</v>
      </c>
      <c r="N2" s="11" t="s">
        <v>16</v>
      </c>
    </row>
    <row r="3" spans="1:14" x14ac:dyDescent="0.3">
      <c r="A3" s="12">
        <v>10002</v>
      </c>
      <c r="B3" s="13">
        <v>45683</v>
      </c>
      <c r="C3" s="14" t="s">
        <v>17</v>
      </c>
      <c r="D3" s="14" t="s">
        <v>18</v>
      </c>
      <c r="E3" s="14" t="s">
        <v>19</v>
      </c>
      <c r="F3" s="14" t="s">
        <v>20</v>
      </c>
      <c r="G3" s="14" t="s">
        <v>21</v>
      </c>
      <c r="H3" s="14">
        <v>1</v>
      </c>
      <c r="I3" s="14">
        <v>695.68</v>
      </c>
      <c r="J3" s="14">
        <v>695.68</v>
      </c>
      <c r="K3" s="14">
        <v>559.46</v>
      </c>
      <c r="L3" s="14">
        <v>136.22</v>
      </c>
      <c r="M3" s="14" t="s">
        <v>22</v>
      </c>
      <c r="N3" s="15" t="s">
        <v>16</v>
      </c>
    </row>
    <row r="4" spans="1:14" x14ac:dyDescent="0.3">
      <c r="A4" s="8">
        <v>10003</v>
      </c>
      <c r="B4" s="9">
        <v>45694</v>
      </c>
      <c r="C4" s="10" t="s">
        <v>23</v>
      </c>
      <c r="D4" s="10" t="s">
        <v>18</v>
      </c>
      <c r="E4" s="10" t="s">
        <v>19</v>
      </c>
      <c r="F4" s="10" t="s">
        <v>24</v>
      </c>
      <c r="G4" s="10" t="s">
        <v>25</v>
      </c>
      <c r="H4" s="10">
        <v>1</v>
      </c>
      <c r="I4" s="10">
        <v>325.02999999999997</v>
      </c>
      <c r="J4" s="10">
        <v>325.02999999999997</v>
      </c>
      <c r="K4" s="10">
        <v>291.36</v>
      </c>
      <c r="L4" s="10">
        <v>33.67</v>
      </c>
      <c r="M4" s="10" t="s">
        <v>15</v>
      </c>
      <c r="N4" s="11" t="s">
        <v>26</v>
      </c>
    </row>
    <row r="5" spans="1:14" x14ac:dyDescent="0.3">
      <c r="A5" s="12">
        <v>10004</v>
      </c>
      <c r="B5" s="13">
        <v>45873</v>
      </c>
      <c r="C5" s="14" t="s">
        <v>17</v>
      </c>
      <c r="D5" s="14" t="s">
        <v>18</v>
      </c>
      <c r="E5" s="14" t="s">
        <v>19</v>
      </c>
      <c r="F5" s="14" t="s">
        <v>27</v>
      </c>
      <c r="G5" s="14" t="s">
        <v>14</v>
      </c>
      <c r="H5" s="14">
        <v>15</v>
      </c>
      <c r="I5" s="14">
        <v>218.34</v>
      </c>
      <c r="J5" s="14">
        <v>3275.1</v>
      </c>
      <c r="K5" s="14">
        <v>2900.35</v>
      </c>
      <c r="L5" s="14">
        <v>374.75</v>
      </c>
      <c r="M5" s="14" t="s">
        <v>28</v>
      </c>
      <c r="N5" s="15" t="s">
        <v>26</v>
      </c>
    </row>
    <row r="6" spans="1:14" x14ac:dyDescent="0.3">
      <c r="A6" s="8">
        <v>10005</v>
      </c>
      <c r="B6" s="9">
        <v>45810</v>
      </c>
      <c r="C6" s="10" t="s">
        <v>23</v>
      </c>
      <c r="D6" s="10" t="s">
        <v>18</v>
      </c>
      <c r="E6" s="10" t="s">
        <v>29</v>
      </c>
      <c r="F6" s="10" t="s">
        <v>30</v>
      </c>
      <c r="G6" s="10" t="s">
        <v>31</v>
      </c>
      <c r="H6" s="10">
        <v>12</v>
      </c>
      <c r="I6" s="10">
        <v>610</v>
      </c>
      <c r="J6" s="10">
        <v>7320</v>
      </c>
      <c r="K6" s="10">
        <v>5746.52</v>
      </c>
      <c r="L6" s="10">
        <v>1573.48</v>
      </c>
      <c r="M6" s="10" t="s">
        <v>15</v>
      </c>
      <c r="N6" s="11" t="s">
        <v>26</v>
      </c>
    </row>
    <row r="7" spans="1:14" x14ac:dyDescent="0.3">
      <c r="A7" s="12">
        <v>10006</v>
      </c>
      <c r="B7" s="13">
        <v>45714</v>
      </c>
      <c r="C7" s="14" t="s">
        <v>10</v>
      </c>
      <c r="D7" s="14" t="s">
        <v>32</v>
      </c>
      <c r="E7" s="14" t="s">
        <v>33</v>
      </c>
      <c r="F7" s="14" t="s">
        <v>34</v>
      </c>
      <c r="G7" s="14" t="s">
        <v>25</v>
      </c>
      <c r="H7" s="14">
        <v>3</v>
      </c>
      <c r="I7" s="14">
        <v>33.29</v>
      </c>
      <c r="J7" s="14">
        <v>99.87</v>
      </c>
      <c r="K7" s="14">
        <v>69.930000000000007</v>
      </c>
      <c r="L7" s="14">
        <v>29.94</v>
      </c>
      <c r="M7" s="14" t="s">
        <v>15</v>
      </c>
      <c r="N7" s="15" t="s">
        <v>16</v>
      </c>
    </row>
    <row r="8" spans="1:14" x14ac:dyDescent="0.3">
      <c r="A8" s="8">
        <v>10007</v>
      </c>
      <c r="B8" s="9">
        <v>45743</v>
      </c>
      <c r="C8" s="10" t="s">
        <v>17</v>
      </c>
      <c r="D8" s="10" t="s">
        <v>18</v>
      </c>
      <c r="E8" s="10" t="s">
        <v>35</v>
      </c>
      <c r="F8" s="10" t="s">
        <v>36</v>
      </c>
      <c r="G8" s="10" t="s">
        <v>37</v>
      </c>
      <c r="H8" s="10">
        <v>15</v>
      </c>
      <c r="I8" s="10">
        <v>1203.6400000000001</v>
      </c>
      <c r="J8" s="10">
        <v>18054.599999999999</v>
      </c>
      <c r="K8" s="10">
        <v>12505.04</v>
      </c>
      <c r="L8" s="10">
        <v>5549.56</v>
      </c>
      <c r="M8" s="10" t="s">
        <v>15</v>
      </c>
      <c r="N8" s="11" t="s">
        <v>26</v>
      </c>
    </row>
    <row r="9" spans="1:14" x14ac:dyDescent="0.3">
      <c r="A9" s="12">
        <v>10008</v>
      </c>
      <c r="B9" s="13">
        <v>45993</v>
      </c>
      <c r="C9" s="14" t="s">
        <v>17</v>
      </c>
      <c r="D9" s="14" t="s">
        <v>11</v>
      </c>
      <c r="E9" s="14" t="s">
        <v>38</v>
      </c>
      <c r="F9" s="14" t="s">
        <v>39</v>
      </c>
      <c r="G9" s="14" t="s">
        <v>21</v>
      </c>
      <c r="H9" s="14">
        <v>7</v>
      </c>
      <c r="I9" s="14">
        <v>781.86</v>
      </c>
      <c r="J9" s="14">
        <v>5473.02</v>
      </c>
      <c r="K9" s="14">
        <v>2968.89</v>
      </c>
      <c r="L9" s="14">
        <v>2504.13</v>
      </c>
      <c r="M9" s="14" t="s">
        <v>15</v>
      </c>
      <c r="N9" s="15" t="s">
        <v>40</v>
      </c>
    </row>
    <row r="10" spans="1:14" x14ac:dyDescent="0.3">
      <c r="A10" s="8">
        <v>10009</v>
      </c>
      <c r="B10" s="9">
        <v>45831</v>
      </c>
      <c r="C10" s="10" t="s">
        <v>41</v>
      </c>
      <c r="D10" s="10" t="s">
        <v>11</v>
      </c>
      <c r="E10" s="10" t="s">
        <v>38</v>
      </c>
      <c r="F10" s="10" t="s">
        <v>42</v>
      </c>
      <c r="G10" s="10" t="s">
        <v>31</v>
      </c>
      <c r="H10" s="10">
        <v>4</v>
      </c>
      <c r="I10" s="10">
        <v>617.38</v>
      </c>
      <c r="J10" s="10">
        <v>2469.52</v>
      </c>
      <c r="K10" s="10">
        <v>1524.55</v>
      </c>
      <c r="L10" s="10">
        <v>944.97</v>
      </c>
      <c r="M10" s="10" t="s">
        <v>22</v>
      </c>
      <c r="N10" s="11" t="s">
        <v>26</v>
      </c>
    </row>
    <row r="11" spans="1:14" x14ac:dyDescent="0.3">
      <c r="A11" s="12">
        <v>10010</v>
      </c>
      <c r="B11" s="13">
        <v>45732</v>
      </c>
      <c r="C11" s="14" t="s">
        <v>23</v>
      </c>
      <c r="D11" s="14" t="s">
        <v>32</v>
      </c>
      <c r="E11" s="14" t="s">
        <v>33</v>
      </c>
      <c r="F11" s="14" t="s">
        <v>43</v>
      </c>
      <c r="G11" s="14" t="s">
        <v>21</v>
      </c>
      <c r="H11" s="14">
        <v>16</v>
      </c>
      <c r="I11" s="14">
        <v>1463</v>
      </c>
      <c r="J11" s="14">
        <v>23408</v>
      </c>
      <c r="K11" s="14">
        <v>17194.39</v>
      </c>
      <c r="L11" s="14">
        <v>6213.61</v>
      </c>
      <c r="M11" s="14" t="s">
        <v>28</v>
      </c>
      <c r="N11" s="15" t="s">
        <v>40</v>
      </c>
    </row>
    <row r="12" spans="1:14" x14ac:dyDescent="0.3">
      <c r="A12" s="8">
        <v>10011</v>
      </c>
      <c r="B12" s="9">
        <v>45773</v>
      </c>
      <c r="C12" s="10" t="s">
        <v>17</v>
      </c>
      <c r="D12" s="10" t="s">
        <v>18</v>
      </c>
      <c r="E12" s="10" t="s">
        <v>35</v>
      </c>
      <c r="F12" s="10" t="s">
        <v>44</v>
      </c>
      <c r="G12" s="10" t="s">
        <v>37</v>
      </c>
      <c r="H12" s="10">
        <v>9</v>
      </c>
      <c r="I12" s="10">
        <v>580.72</v>
      </c>
      <c r="J12" s="10">
        <v>5226.4799999999996</v>
      </c>
      <c r="K12" s="10">
        <v>4492.8599999999997</v>
      </c>
      <c r="L12" s="10">
        <v>733.62</v>
      </c>
      <c r="M12" s="10" t="s">
        <v>15</v>
      </c>
      <c r="N12" s="11" t="s">
        <v>40</v>
      </c>
    </row>
    <row r="13" spans="1:14" x14ac:dyDescent="0.3">
      <c r="A13" s="12">
        <v>10012</v>
      </c>
      <c r="B13" s="13">
        <v>45929</v>
      </c>
      <c r="C13" s="14" t="s">
        <v>23</v>
      </c>
      <c r="D13" s="14" t="s">
        <v>11</v>
      </c>
      <c r="E13" s="14" t="s">
        <v>38</v>
      </c>
      <c r="F13" s="14" t="s">
        <v>45</v>
      </c>
      <c r="G13" s="14" t="s">
        <v>37</v>
      </c>
      <c r="H13" s="14">
        <v>11</v>
      </c>
      <c r="I13" s="14">
        <v>1175.82</v>
      </c>
      <c r="J13" s="14">
        <v>12934.02</v>
      </c>
      <c r="K13" s="14">
        <v>9001.35</v>
      </c>
      <c r="L13" s="14">
        <v>3932.67</v>
      </c>
      <c r="M13" s="14" t="s">
        <v>28</v>
      </c>
      <c r="N13" s="15" t="s">
        <v>46</v>
      </c>
    </row>
    <row r="14" spans="1:14" x14ac:dyDescent="0.3">
      <c r="A14" s="8">
        <v>10013</v>
      </c>
      <c r="B14" s="9">
        <v>45771</v>
      </c>
      <c r="C14" s="10" t="s">
        <v>41</v>
      </c>
      <c r="D14" s="10" t="s">
        <v>11</v>
      </c>
      <c r="E14" s="10" t="s">
        <v>12</v>
      </c>
      <c r="F14" s="10" t="s">
        <v>47</v>
      </c>
      <c r="G14" s="10" t="s">
        <v>37</v>
      </c>
      <c r="H14" s="10">
        <v>10</v>
      </c>
      <c r="I14" s="10">
        <v>705.69</v>
      </c>
      <c r="J14" s="10">
        <v>7056.9</v>
      </c>
      <c r="K14" s="10">
        <v>5788.21</v>
      </c>
      <c r="L14" s="10">
        <v>1268.69</v>
      </c>
      <c r="M14" s="10" t="s">
        <v>22</v>
      </c>
      <c r="N14" s="11" t="s">
        <v>26</v>
      </c>
    </row>
    <row r="15" spans="1:14" x14ac:dyDescent="0.3">
      <c r="A15" s="12">
        <v>10014</v>
      </c>
      <c r="B15" s="13">
        <v>45755</v>
      </c>
      <c r="C15" s="14" t="s">
        <v>23</v>
      </c>
      <c r="D15" s="14" t="s">
        <v>11</v>
      </c>
      <c r="E15" s="14" t="s">
        <v>38</v>
      </c>
      <c r="F15" s="14" t="s">
        <v>48</v>
      </c>
      <c r="G15" s="14" t="s">
        <v>21</v>
      </c>
      <c r="H15" s="14">
        <v>2</v>
      </c>
      <c r="I15" s="14">
        <v>1366.4</v>
      </c>
      <c r="J15" s="14">
        <v>2732.8</v>
      </c>
      <c r="K15" s="14">
        <v>2195.5700000000002</v>
      </c>
      <c r="L15" s="14">
        <v>537.23</v>
      </c>
      <c r="M15" s="14" t="s">
        <v>22</v>
      </c>
      <c r="N15" s="15" t="s">
        <v>16</v>
      </c>
    </row>
    <row r="16" spans="1:14" x14ac:dyDescent="0.3">
      <c r="A16" s="8">
        <v>10015</v>
      </c>
      <c r="B16" s="9">
        <v>45879</v>
      </c>
      <c r="C16" s="10" t="s">
        <v>10</v>
      </c>
      <c r="D16" s="10" t="s">
        <v>32</v>
      </c>
      <c r="E16" s="10" t="s">
        <v>49</v>
      </c>
      <c r="F16" s="10" t="s">
        <v>50</v>
      </c>
      <c r="G16" s="10" t="s">
        <v>51</v>
      </c>
      <c r="H16" s="10">
        <v>14</v>
      </c>
      <c r="I16" s="10">
        <v>1035.94</v>
      </c>
      <c r="J16" s="10">
        <v>14503.16</v>
      </c>
      <c r="K16" s="10">
        <v>8750.4599999999991</v>
      </c>
      <c r="L16" s="10">
        <v>5752.7</v>
      </c>
      <c r="M16" s="10" t="s">
        <v>28</v>
      </c>
      <c r="N16" s="11" t="s">
        <v>16</v>
      </c>
    </row>
    <row r="17" spans="1:14" x14ac:dyDescent="0.3">
      <c r="A17" s="12">
        <v>10016</v>
      </c>
      <c r="B17" s="13">
        <v>45827</v>
      </c>
      <c r="C17" s="14" t="s">
        <v>23</v>
      </c>
      <c r="D17" s="14" t="s">
        <v>11</v>
      </c>
      <c r="E17" s="14" t="s">
        <v>52</v>
      </c>
      <c r="F17" s="14" t="s">
        <v>53</v>
      </c>
      <c r="G17" s="14" t="s">
        <v>37</v>
      </c>
      <c r="H17" s="14">
        <v>11</v>
      </c>
      <c r="I17" s="14">
        <v>1079.56</v>
      </c>
      <c r="J17" s="14">
        <v>11875.16</v>
      </c>
      <c r="K17" s="14">
        <v>8691.44</v>
      </c>
      <c r="L17" s="14">
        <v>3183.72</v>
      </c>
      <c r="M17" s="14" t="s">
        <v>15</v>
      </c>
      <c r="N17" s="15" t="s">
        <v>16</v>
      </c>
    </row>
    <row r="18" spans="1:14" x14ac:dyDescent="0.3">
      <c r="A18" s="8">
        <v>10017</v>
      </c>
      <c r="B18" s="9">
        <v>45707</v>
      </c>
      <c r="C18" s="10" t="s">
        <v>17</v>
      </c>
      <c r="D18" s="10" t="s">
        <v>11</v>
      </c>
      <c r="E18" s="10" t="s">
        <v>12</v>
      </c>
      <c r="F18" s="10" t="s">
        <v>54</v>
      </c>
      <c r="G18" s="10" t="s">
        <v>51</v>
      </c>
      <c r="H18" s="10">
        <v>15</v>
      </c>
      <c r="I18" s="10">
        <v>535.19000000000005</v>
      </c>
      <c r="J18" s="10">
        <v>8027.85</v>
      </c>
      <c r="K18" s="10">
        <v>4535.5200000000004</v>
      </c>
      <c r="L18" s="10">
        <v>3492.33</v>
      </c>
      <c r="M18" s="10" t="s">
        <v>15</v>
      </c>
      <c r="N18" s="11" t="s">
        <v>46</v>
      </c>
    </row>
    <row r="19" spans="1:14" x14ac:dyDescent="0.3">
      <c r="A19" s="12">
        <v>10018</v>
      </c>
      <c r="B19" s="13">
        <v>45728</v>
      </c>
      <c r="C19" s="14" t="s">
        <v>17</v>
      </c>
      <c r="D19" s="14" t="s">
        <v>11</v>
      </c>
      <c r="E19" s="14" t="s">
        <v>52</v>
      </c>
      <c r="F19" s="14" t="s">
        <v>55</v>
      </c>
      <c r="G19" s="14" t="s">
        <v>21</v>
      </c>
      <c r="H19" s="14">
        <v>3</v>
      </c>
      <c r="I19" s="14">
        <v>1002.44</v>
      </c>
      <c r="J19" s="14">
        <v>3007.32</v>
      </c>
      <c r="K19" s="14">
        <v>2207.77</v>
      </c>
      <c r="L19" s="14">
        <v>799.55</v>
      </c>
      <c r="M19" s="14" t="s">
        <v>15</v>
      </c>
      <c r="N19" s="15" t="s">
        <v>46</v>
      </c>
    </row>
    <row r="20" spans="1:14" x14ac:dyDescent="0.3">
      <c r="A20" s="8">
        <v>10019</v>
      </c>
      <c r="B20" s="9">
        <v>45974</v>
      </c>
      <c r="C20" s="10" t="s">
        <v>10</v>
      </c>
      <c r="D20" s="10" t="s">
        <v>18</v>
      </c>
      <c r="E20" s="10" t="s">
        <v>35</v>
      </c>
      <c r="F20" s="10" t="s">
        <v>56</v>
      </c>
      <c r="G20" s="10" t="s">
        <v>51</v>
      </c>
      <c r="H20" s="10">
        <v>5</v>
      </c>
      <c r="I20" s="10">
        <v>791.66</v>
      </c>
      <c r="J20" s="10">
        <v>3958.3</v>
      </c>
      <c r="K20" s="10">
        <v>2837.34</v>
      </c>
      <c r="L20" s="10">
        <v>1120.96</v>
      </c>
      <c r="M20" s="10" t="s">
        <v>15</v>
      </c>
      <c r="N20" s="11" t="s">
        <v>46</v>
      </c>
    </row>
    <row r="21" spans="1:14" x14ac:dyDescent="0.3">
      <c r="A21" s="12">
        <v>10020</v>
      </c>
      <c r="B21" s="13">
        <v>45714</v>
      </c>
      <c r="C21" s="14" t="s">
        <v>23</v>
      </c>
      <c r="D21" s="14" t="s">
        <v>18</v>
      </c>
      <c r="E21" s="14" t="s">
        <v>35</v>
      </c>
      <c r="F21" s="14" t="s">
        <v>57</v>
      </c>
      <c r="G21" s="14" t="s">
        <v>14</v>
      </c>
      <c r="H21" s="14">
        <v>11</v>
      </c>
      <c r="I21" s="14">
        <v>978.05</v>
      </c>
      <c r="J21" s="14">
        <v>10758.55</v>
      </c>
      <c r="K21" s="14">
        <v>5519.66</v>
      </c>
      <c r="L21" s="14">
        <v>5238.8900000000003</v>
      </c>
      <c r="M21" s="14" t="s">
        <v>22</v>
      </c>
      <c r="N21" s="15" t="s">
        <v>26</v>
      </c>
    </row>
    <row r="22" spans="1:14" x14ac:dyDescent="0.3">
      <c r="A22" s="8">
        <v>10021</v>
      </c>
      <c r="B22" s="9">
        <v>45784</v>
      </c>
      <c r="C22" s="10" t="s">
        <v>23</v>
      </c>
      <c r="D22" s="10" t="s">
        <v>11</v>
      </c>
      <c r="E22" s="10" t="s">
        <v>52</v>
      </c>
      <c r="F22" s="10" t="s">
        <v>58</v>
      </c>
      <c r="G22" s="10" t="s">
        <v>21</v>
      </c>
      <c r="H22" s="10">
        <v>4</v>
      </c>
      <c r="I22" s="10">
        <v>666.59</v>
      </c>
      <c r="J22" s="10">
        <v>2666.36</v>
      </c>
      <c r="K22" s="10">
        <v>1402.85</v>
      </c>
      <c r="L22" s="10">
        <v>1263.51</v>
      </c>
      <c r="M22" s="10" t="s">
        <v>15</v>
      </c>
      <c r="N22" s="11" t="s">
        <v>46</v>
      </c>
    </row>
    <row r="23" spans="1:14" x14ac:dyDescent="0.3">
      <c r="A23" s="12">
        <v>10022</v>
      </c>
      <c r="B23" s="13">
        <v>45996</v>
      </c>
      <c r="C23" s="14" t="s">
        <v>17</v>
      </c>
      <c r="D23" s="14" t="s">
        <v>11</v>
      </c>
      <c r="E23" s="14" t="s">
        <v>52</v>
      </c>
      <c r="F23" s="14" t="s">
        <v>59</v>
      </c>
      <c r="G23" s="14" t="s">
        <v>37</v>
      </c>
      <c r="H23" s="14">
        <v>17</v>
      </c>
      <c r="I23" s="14">
        <v>751.24</v>
      </c>
      <c r="J23" s="14">
        <v>12771.08</v>
      </c>
      <c r="K23" s="14">
        <v>9530.5300000000007</v>
      </c>
      <c r="L23" s="14">
        <v>3240.55</v>
      </c>
      <c r="M23" s="14" t="s">
        <v>22</v>
      </c>
      <c r="N23" s="15" t="s">
        <v>16</v>
      </c>
    </row>
    <row r="24" spans="1:14" x14ac:dyDescent="0.3">
      <c r="A24" s="8">
        <v>10023</v>
      </c>
      <c r="B24" s="9">
        <v>45923</v>
      </c>
      <c r="C24" s="10" t="s">
        <v>23</v>
      </c>
      <c r="D24" s="10" t="s">
        <v>18</v>
      </c>
      <c r="E24" s="10" t="s">
        <v>35</v>
      </c>
      <c r="F24" s="10" t="s">
        <v>60</v>
      </c>
      <c r="G24" s="10" t="s">
        <v>14</v>
      </c>
      <c r="H24" s="10">
        <v>10</v>
      </c>
      <c r="I24" s="10">
        <v>945.37</v>
      </c>
      <c r="J24" s="10">
        <v>9453.7000000000007</v>
      </c>
      <c r="K24" s="10">
        <v>6796.59</v>
      </c>
      <c r="L24" s="10">
        <v>2657.11</v>
      </c>
      <c r="M24" s="10" t="s">
        <v>28</v>
      </c>
      <c r="N24" s="11" t="s">
        <v>40</v>
      </c>
    </row>
    <row r="25" spans="1:14" x14ac:dyDescent="0.3">
      <c r="A25" s="12">
        <v>10024</v>
      </c>
      <c r="B25" s="13">
        <v>45887</v>
      </c>
      <c r="C25" s="14" t="s">
        <v>17</v>
      </c>
      <c r="D25" s="14" t="s">
        <v>11</v>
      </c>
      <c r="E25" s="14" t="s">
        <v>38</v>
      </c>
      <c r="F25" s="14" t="s">
        <v>39</v>
      </c>
      <c r="G25" s="14" t="s">
        <v>31</v>
      </c>
      <c r="H25" s="14">
        <v>16</v>
      </c>
      <c r="I25" s="14">
        <v>736.43</v>
      </c>
      <c r="J25" s="14">
        <v>11782.88</v>
      </c>
      <c r="K25" s="14">
        <v>7224.9</v>
      </c>
      <c r="L25" s="14">
        <v>4557.9799999999996</v>
      </c>
      <c r="M25" s="14" t="s">
        <v>28</v>
      </c>
      <c r="N25" s="15" t="s">
        <v>46</v>
      </c>
    </row>
    <row r="26" spans="1:14" x14ac:dyDescent="0.3">
      <c r="A26" s="8">
        <v>10025</v>
      </c>
      <c r="B26" s="9">
        <v>45959</v>
      </c>
      <c r="C26" s="10" t="s">
        <v>10</v>
      </c>
      <c r="D26" s="10" t="s">
        <v>32</v>
      </c>
      <c r="E26" s="10" t="s">
        <v>49</v>
      </c>
      <c r="F26" s="10" t="s">
        <v>61</v>
      </c>
      <c r="G26" s="10" t="s">
        <v>37</v>
      </c>
      <c r="H26" s="10">
        <v>3</v>
      </c>
      <c r="I26" s="10">
        <v>1461.32</v>
      </c>
      <c r="J26" s="10">
        <v>4383.96</v>
      </c>
      <c r="K26" s="10">
        <v>3921.25</v>
      </c>
      <c r="L26" s="10">
        <v>462.71</v>
      </c>
      <c r="M26" s="10" t="s">
        <v>28</v>
      </c>
      <c r="N26" s="11" t="s">
        <v>40</v>
      </c>
    </row>
    <row r="27" spans="1:14" x14ac:dyDescent="0.3">
      <c r="A27" s="12">
        <v>10026</v>
      </c>
      <c r="B27" s="13">
        <v>45767</v>
      </c>
      <c r="C27" s="14" t="s">
        <v>10</v>
      </c>
      <c r="D27" s="14" t="s">
        <v>32</v>
      </c>
      <c r="E27" s="14" t="s">
        <v>49</v>
      </c>
      <c r="F27" s="14" t="s">
        <v>62</v>
      </c>
      <c r="G27" s="14" t="s">
        <v>14</v>
      </c>
      <c r="H27" s="14">
        <v>5</v>
      </c>
      <c r="I27" s="14">
        <v>979.29</v>
      </c>
      <c r="J27" s="14">
        <v>4896.45</v>
      </c>
      <c r="K27" s="14">
        <v>3062.78</v>
      </c>
      <c r="L27" s="14">
        <v>1833.67</v>
      </c>
      <c r="M27" s="14" t="s">
        <v>15</v>
      </c>
      <c r="N27" s="15" t="s">
        <v>26</v>
      </c>
    </row>
    <row r="28" spans="1:14" x14ac:dyDescent="0.3">
      <c r="A28" s="8">
        <v>10027</v>
      </c>
      <c r="B28" s="9">
        <v>45775</v>
      </c>
      <c r="C28" s="10" t="s">
        <v>17</v>
      </c>
      <c r="D28" s="10" t="s">
        <v>11</v>
      </c>
      <c r="E28" s="10" t="s">
        <v>52</v>
      </c>
      <c r="F28" s="10" t="s">
        <v>63</v>
      </c>
      <c r="G28" s="10" t="s">
        <v>25</v>
      </c>
      <c r="H28" s="10">
        <v>2</v>
      </c>
      <c r="I28" s="10">
        <v>1053.45</v>
      </c>
      <c r="J28" s="10">
        <v>2106.9</v>
      </c>
      <c r="K28" s="10">
        <v>1869.94</v>
      </c>
      <c r="L28" s="10">
        <v>236.96</v>
      </c>
      <c r="M28" s="10" t="s">
        <v>15</v>
      </c>
      <c r="N28" s="11" t="s">
        <v>46</v>
      </c>
    </row>
    <row r="29" spans="1:14" x14ac:dyDescent="0.3">
      <c r="A29" s="12">
        <v>10028</v>
      </c>
      <c r="B29" s="13">
        <v>45899</v>
      </c>
      <c r="C29" s="14" t="s">
        <v>41</v>
      </c>
      <c r="D29" s="14" t="s">
        <v>11</v>
      </c>
      <c r="E29" s="14" t="s">
        <v>52</v>
      </c>
      <c r="F29" s="14" t="s">
        <v>64</v>
      </c>
      <c r="G29" s="14" t="s">
        <v>31</v>
      </c>
      <c r="H29" s="14">
        <v>19</v>
      </c>
      <c r="I29" s="14">
        <v>880.26</v>
      </c>
      <c r="J29" s="14">
        <v>16724.939999999999</v>
      </c>
      <c r="K29" s="14">
        <v>11739.18</v>
      </c>
      <c r="L29" s="14">
        <v>4985.76</v>
      </c>
      <c r="M29" s="14" t="s">
        <v>15</v>
      </c>
      <c r="N29" s="15" t="s">
        <v>26</v>
      </c>
    </row>
    <row r="30" spans="1:14" x14ac:dyDescent="0.3">
      <c r="A30" s="8">
        <v>10029</v>
      </c>
      <c r="B30" s="9">
        <v>45963</v>
      </c>
      <c r="C30" s="10" t="s">
        <v>41</v>
      </c>
      <c r="D30" s="10" t="s">
        <v>18</v>
      </c>
      <c r="E30" s="10" t="s">
        <v>19</v>
      </c>
      <c r="F30" s="10" t="s">
        <v>65</v>
      </c>
      <c r="G30" s="10" t="s">
        <v>14</v>
      </c>
      <c r="H30" s="10">
        <v>6</v>
      </c>
      <c r="I30" s="10">
        <v>158.68</v>
      </c>
      <c r="J30" s="10">
        <v>952.08</v>
      </c>
      <c r="K30" s="10">
        <v>534.79</v>
      </c>
      <c r="L30" s="10">
        <v>417.29</v>
      </c>
      <c r="M30" s="10" t="s">
        <v>15</v>
      </c>
      <c r="N30" s="11" t="s">
        <v>26</v>
      </c>
    </row>
    <row r="31" spans="1:14" x14ac:dyDescent="0.3">
      <c r="A31" s="12">
        <v>10030</v>
      </c>
      <c r="B31" s="13">
        <v>45933</v>
      </c>
      <c r="C31" s="14" t="s">
        <v>10</v>
      </c>
      <c r="D31" s="14" t="s">
        <v>18</v>
      </c>
      <c r="E31" s="14" t="s">
        <v>29</v>
      </c>
      <c r="F31" s="14" t="s">
        <v>66</v>
      </c>
      <c r="G31" s="14" t="s">
        <v>14</v>
      </c>
      <c r="H31" s="14">
        <v>10</v>
      </c>
      <c r="I31" s="14">
        <v>133.06</v>
      </c>
      <c r="J31" s="14">
        <v>1330.6</v>
      </c>
      <c r="K31" s="14">
        <v>1012.29</v>
      </c>
      <c r="L31" s="14">
        <v>318.31</v>
      </c>
      <c r="M31" s="14" t="s">
        <v>28</v>
      </c>
      <c r="N31" s="15" t="s">
        <v>16</v>
      </c>
    </row>
    <row r="32" spans="1:14" x14ac:dyDescent="0.3">
      <c r="A32" s="8">
        <v>10031</v>
      </c>
      <c r="B32" s="9">
        <v>45723</v>
      </c>
      <c r="C32" s="10" t="s">
        <v>10</v>
      </c>
      <c r="D32" s="10" t="s">
        <v>18</v>
      </c>
      <c r="E32" s="10" t="s">
        <v>29</v>
      </c>
      <c r="F32" s="10" t="s">
        <v>67</v>
      </c>
      <c r="G32" s="10" t="s">
        <v>14</v>
      </c>
      <c r="H32" s="10">
        <v>17</v>
      </c>
      <c r="I32" s="10">
        <v>1149.8800000000001</v>
      </c>
      <c r="J32" s="10">
        <v>19547.96</v>
      </c>
      <c r="K32" s="10">
        <v>12265.02</v>
      </c>
      <c r="L32" s="10">
        <v>7282.94</v>
      </c>
      <c r="M32" s="10" t="s">
        <v>15</v>
      </c>
      <c r="N32" s="11" t="s">
        <v>40</v>
      </c>
    </row>
    <row r="33" spans="1:14" x14ac:dyDescent="0.3">
      <c r="A33" s="12">
        <v>10032</v>
      </c>
      <c r="B33" s="13">
        <v>45994</v>
      </c>
      <c r="C33" s="14" t="s">
        <v>23</v>
      </c>
      <c r="D33" s="14" t="s">
        <v>32</v>
      </c>
      <c r="E33" s="14" t="s">
        <v>33</v>
      </c>
      <c r="F33" s="14" t="s">
        <v>68</v>
      </c>
      <c r="G33" s="14" t="s">
        <v>14</v>
      </c>
      <c r="H33" s="14">
        <v>14</v>
      </c>
      <c r="I33" s="14">
        <v>730.23</v>
      </c>
      <c r="J33" s="14">
        <v>10223.219999999999</v>
      </c>
      <c r="K33" s="14">
        <v>8831.33</v>
      </c>
      <c r="L33" s="14">
        <v>1391.89</v>
      </c>
      <c r="M33" s="14" t="s">
        <v>15</v>
      </c>
      <c r="N33" s="15" t="s">
        <v>26</v>
      </c>
    </row>
    <row r="34" spans="1:14" x14ac:dyDescent="0.3">
      <c r="A34" s="8">
        <v>10033</v>
      </c>
      <c r="B34" s="9">
        <v>45791</v>
      </c>
      <c r="C34" s="10" t="s">
        <v>10</v>
      </c>
      <c r="D34" s="10" t="s">
        <v>32</v>
      </c>
      <c r="E34" s="10" t="s">
        <v>69</v>
      </c>
      <c r="F34" s="10" t="s">
        <v>70</v>
      </c>
      <c r="G34" s="10" t="s">
        <v>51</v>
      </c>
      <c r="H34" s="10">
        <v>1</v>
      </c>
      <c r="I34" s="10">
        <v>188.94</v>
      </c>
      <c r="J34" s="10">
        <v>188.94</v>
      </c>
      <c r="K34" s="10">
        <v>149.59</v>
      </c>
      <c r="L34" s="10">
        <v>39.35</v>
      </c>
      <c r="M34" s="10" t="s">
        <v>22</v>
      </c>
      <c r="N34" s="11" t="s">
        <v>40</v>
      </c>
    </row>
    <row r="35" spans="1:14" x14ac:dyDescent="0.3">
      <c r="A35" s="12">
        <v>10034</v>
      </c>
      <c r="B35" s="13">
        <v>45702</v>
      </c>
      <c r="C35" s="14" t="s">
        <v>41</v>
      </c>
      <c r="D35" s="14" t="s">
        <v>18</v>
      </c>
      <c r="E35" s="14" t="s">
        <v>19</v>
      </c>
      <c r="F35" s="14" t="s">
        <v>71</v>
      </c>
      <c r="G35" s="14" t="s">
        <v>37</v>
      </c>
      <c r="H35" s="14">
        <v>3</v>
      </c>
      <c r="I35" s="14">
        <v>306.70999999999998</v>
      </c>
      <c r="J35" s="14">
        <v>920.13</v>
      </c>
      <c r="K35" s="14">
        <v>581.70000000000005</v>
      </c>
      <c r="L35" s="14">
        <v>338.43</v>
      </c>
      <c r="M35" s="14" t="s">
        <v>28</v>
      </c>
      <c r="N35" s="15" t="s">
        <v>46</v>
      </c>
    </row>
    <row r="36" spans="1:14" x14ac:dyDescent="0.3">
      <c r="A36" s="8">
        <v>10035</v>
      </c>
      <c r="B36" s="9">
        <v>45736</v>
      </c>
      <c r="C36" s="10" t="s">
        <v>17</v>
      </c>
      <c r="D36" s="10" t="s">
        <v>11</v>
      </c>
      <c r="E36" s="10" t="s">
        <v>38</v>
      </c>
      <c r="F36" s="10" t="s">
        <v>72</v>
      </c>
      <c r="G36" s="10" t="s">
        <v>14</v>
      </c>
      <c r="H36" s="10">
        <v>20</v>
      </c>
      <c r="I36" s="10">
        <v>198.16</v>
      </c>
      <c r="J36" s="10">
        <v>3963.2</v>
      </c>
      <c r="K36" s="10">
        <v>3044.05</v>
      </c>
      <c r="L36" s="10">
        <v>919.15</v>
      </c>
      <c r="M36" s="10" t="s">
        <v>15</v>
      </c>
      <c r="N36" s="11" t="s">
        <v>26</v>
      </c>
    </row>
    <row r="37" spans="1:14" x14ac:dyDescent="0.3">
      <c r="A37" s="12">
        <v>10036</v>
      </c>
      <c r="B37" s="13">
        <v>45667</v>
      </c>
      <c r="C37" s="14" t="s">
        <v>10</v>
      </c>
      <c r="D37" s="14" t="s">
        <v>18</v>
      </c>
      <c r="E37" s="14" t="s">
        <v>35</v>
      </c>
      <c r="F37" s="14" t="s">
        <v>73</v>
      </c>
      <c r="G37" s="14" t="s">
        <v>14</v>
      </c>
      <c r="H37" s="14">
        <v>4</v>
      </c>
      <c r="I37" s="14">
        <v>1183.1099999999999</v>
      </c>
      <c r="J37" s="14">
        <v>4732.4399999999996</v>
      </c>
      <c r="K37" s="14">
        <v>4199.57</v>
      </c>
      <c r="L37" s="14">
        <v>532.87</v>
      </c>
      <c r="M37" s="14" t="s">
        <v>28</v>
      </c>
      <c r="N37" s="15" t="s">
        <v>16</v>
      </c>
    </row>
    <row r="38" spans="1:14" x14ac:dyDescent="0.3">
      <c r="A38" s="8">
        <v>10037</v>
      </c>
      <c r="B38" s="9">
        <v>45740</v>
      </c>
      <c r="C38" s="10" t="s">
        <v>10</v>
      </c>
      <c r="D38" s="10" t="s">
        <v>18</v>
      </c>
      <c r="E38" s="10" t="s">
        <v>29</v>
      </c>
      <c r="F38" s="10" t="s">
        <v>74</v>
      </c>
      <c r="G38" s="10" t="s">
        <v>31</v>
      </c>
      <c r="H38" s="10">
        <v>13</v>
      </c>
      <c r="I38" s="10">
        <v>785.68</v>
      </c>
      <c r="J38" s="10">
        <v>10213.84</v>
      </c>
      <c r="K38" s="10">
        <v>6295.15</v>
      </c>
      <c r="L38" s="10">
        <v>3918.69</v>
      </c>
      <c r="M38" s="10" t="s">
        <v>15</v>
      </c>
      <c r="N38" s="11" t="s">
        <v>16</v>
      </c>
    </row>
    <row r="39" spans="1:14" x14ac:dyDescent="0.3">
      <c r="A39" s="12">
        <v>10038</v>
      </c>
      <c r="B39" s="13">
        <v>45727</v>
      </c>
      <c r="C39" s="14" t="s">
        <v>17</v>
      </c>
      <c r="D39" s="14" t="s">
        <v>32</v>
      </c>
      <c r="E39" s="14" t="s">
        <v>69</v>
      </c>
      <c r="F39" s="14" t="s">
        <v>75</v>
      </c>
      <c r="G39" s="14" t="s">
        <v>25</v>
      </c>
      <c r="H39" s="14">
        <v>18</v>
      </c>
      <c r="I39" s="14">
        <v>566.35</v>
      </c>
      <c r="J39" s="14">
        <v>10194.299999999999</v>
      </c>
      <c r="K39" s="14">
        <v>8080.23</v>
      </c>
      <c r="L39" s="14">
        <v>2114.0700000000002</v>
      </c>
      <c r="M39" s="14" t="s">
        <v>15</v>
      </c>
      <c r="N39" s="15" t="s">
        <v>40</v>
      </c>
    </row>
    <row r="40" spans="1:14" x14ac:dyDescent="0.3">
      <c r="A40" s="8">
        <v>10039</v>
      </c>
      <c r="B40" s="9">
        <v>45793</v>
      </c>
      <c r="C40" s="10" t="s">
        <v>23</v>
      </c>
      <c r="D40" s="10" t="s">
        <v>11</v>
      </c>
      <c r="E40" s="10" t="s">
        <v>52</v>
      </c>
      <c r="F40" s="10" t="s">
        <v>76</v>
      </c>
      <c r="G40" s="10" t="s">
        <v>21</v>
      </c>
      <c r="H40" s="10">
        <v>5</v>
      </c>
      <c r="I40" s="10">
        <v>513.02</v>
      </c>
      <c r="J40" s="10">
        <v>2565.1</v>
      </c>
      <c r="K40" s="10">
        <v>1560.51</v>
      </c>
      <c r="L40" s="10">
        <v>1004.59</v>
      </c>
      <c r="M40" s="10" t="s">
        <v>15</v>
      </c>
      <c r="N40" s="11" t="s">
        <v>40</v>
      </c>
    </row>
    <row r="41" spans="1:14" x14ac:dyDescent="0.3">
      <c r="A41" s="12">
        <v>10040</v>
      </c>
      <c r="B41" s="13">
        <v>45934</v>
      </c>
      <c r="C41" s="14" t="s">
        <v>23</v>
      </c>
      <c r="D41" s="14" t="s">
        <v>32</v>
      </c>
      <c r="E41" s="14" t="s">
        <v>49</v>
      </c>
      <c r="F41" s="14" t="s">
        <v>77</v>
      </c>
      <c r="G41" s="14" t="s">
        <v>21</v>
      </c>
      <c r="H41" s="14">
        <v>10</v>
      </c>
      <c r="I41" s="14">
        <v>833.99</v>
      </c>
      <c r="J41" s="14">
        <v>8339.9</v>
      </c>
      <c r="K41" s="14">
        <v>5210.1899999999996</v>
      </c>
      <c r="L41" s="14">
        <v>3129.71</v>
      </c>
      <c r="M41" s="14" t="s">
        <v>22</v>
      </c>
      <c r="N41" s="15" t="s">
        <v>40</v>
      </c>
    </row>
    <row r="42" spans="1:14" x14ac:dyDescent="0.3">
      <c r="A42" s="8">
        <v>10041</v>
      </c>
      <c r="B42" s="9">
        <v>45849</v>
      </c>
      <c r="C42" s="10" t="s">
        <v>17</v>
      </c>
      <c r="D42" s="10" t="s">
        <v>18</v>
      </c>
      <c r="E42" s="10" t="s">
        <v>29</v>
      </c>
      <c r="F42" s="10" t="s">
        <v>78</v>
      </c>
      <c r="G42" s="10" t="s">
        <v>21</v>
      </c>
      <c r="H42" s="10">
        <v>19</v>
      </c>
      <c r="I42" s="10">
        <v>1258.18</v>
      </c>
      <c r="J42" s="10">
        <v>23905.42</v>
      </c>
      <c r="K42" s="10">
        <v>17047.66</v>
      </c>
      <c r="L42" s="10">
        <v>6857.76</v>
      </c>
      <c r="M42" s="10" t="s">
        <v>22</v>
      </c>
      <c r="N42" s="11" t="s">
        <v>46</v>
      </c>
    </row>
    <row r="43" spans="1:14" x14ac:dyDescent="0.3">
      <c r="A43" s="12">
        <v>10042</v>
      </c>
      <c r="B43" s="13">
        <v>45790</v>
      </c>
      <c r="C43" s="14" t="s">
        <v>17</v>
      </c>
      <c r="D43" s="14" t="s">
        <v>11</v>
      </c>
      <c r="E43" s="14" t="s">
        <v>12</v>
      </c>
      <c r="F43" s="14" t="s">
        <v>79</v>
      </c>
      <c r="G43" s="14" t="s">
        <v>31</v>
      </c>
      <c r="H43" s="14">
        <v>16</v>
      </c>
      <c r="I43" s="14">
        <v>1487.21</v>
      </c>
      <c r="J43" s="14">
        <v>23795.360000000001</v>
      </c>
      <c r="K43" s="14">
        <v>16283.4</v>
      </c>
      <c r="L43" s="14">
        <v>7511.96</v>
      </c>
      <c r="M43" s="14" t="s">
        <v>22</v>
      </c>
      <c r="N43" s="15" t="s">
        <v>26</v>
      </c>
    </row>
    <row r="44" spans="1:14" x14ac:dyDescent="0.3">
      <c r="A44" s="8">
        <v>10043</v>
      </c>
      <c r="B44" s="9">
        <v>45938</v>
      </c>
      <c r="C44" s="10" t="s">
        <v>23</v>
      </c>
      <c r="D44" s="10" t="s">
        <v>11</v>
      </c>
      <c r="E44" s="10" t="s">
        <v>52</v>
      </c>
      <c r="F44" s="10" t="s">
        <v>80</v>
      </c>
      <c r="G44" s="10" t="s">
        <v>51</v>
      </c>
      <c r="H44" s="10">
        <v>20</v>
      </c>
      <c r="I44" s="10">
        <v>292.27</v>
      </c>
      <c r="J44" s="10">
        <v>5845.4</v>
      </c>
      <c r="K44" s="10">
        <v>3970.28</v>
      </c>
      <c r="L44" s="10">
        <v>1875.12</v>
      </c>
      <c r="M44" s="10" t="s">
        <v>15</v>
      </c>
      <c r="N44" s="11" t="s">
        <v>46</v>
      </c>
    </row>
    <row r="45" spans="1:14" x14ac:dyDescent="0.3">
      <c r="A45" s="12">
        <v>10044</v>
      </c>
      <c r="B45" s="13">
        <v>45695</v>
      </c>
      <c r="C45" s="14" t="s">
        <v>10</v>
      </c>
      <c r="D45" s="14" t="s">
        <v>11</v>
      </c>
      <c r="E45" s="14" t="s">
        <v>38</v>
      </c>
      <c r="F45" s="14" t="s">
        <v>81</v>
      </c>
      <c r="G45" s="14" t="s">
        <v>37</v>
      </c>
      <c r="H45" s="14">
        <v>9</v>
      </c>
      <c r="I45" s="14">
        <v>109.74</v>
      </c>
      <c r="J45" s="14">
        <v>987.66</v>
      </c>
      <c r="K45" s="14">
        <v>730.89</v>
      </c>
      <c r="L45" s="14">
        <v>256.77</v>
      </c>
      <c r="M45" s="14" t="s">
        <v>22</v>
      </c>
      <c r="N45" s="15" t="s">
        <v>16</v>
      </c>
    </row>
    <row r="46" spans="1:14" x14ac:dyDescent="0.3">
      <c r="A46" s="8">
        <v>10045</v>
      </c>
      <c r="B46" s="9">
        <v>45684</v>
      </c>
      <c r="C46" s="10" t="s">
        <v>23</v>
      </c>
      <c r="D46" s="10" t="s">
        <v>18</v>
      </c>
      <c r="E46" s="10" t="s">
        <v>29</v>
      </c>
      <c r="F46" s="10" t="s">
        <v>82</v>
      </c>
      <c r="G46" s="10" t="s">
        <v>14</v>
      </c>
      <c r="H46" s="10">
        <v>19</v>
      </c>
      <c r="I46" s="10">
        <v>20.64</v>
      </c>
      <c r="J46" s="10">
        <v>392.16</v>
      </c>
      <c r="K46" s="10">
        <v>291.88</v>
      </c>
      <c r="L46" s="10">
        <v>100.28</v>
      </c>
      <c r="M46" s="10" t="s">
        <v>28</v>
      </c>
      <c r="N46" s="11" t="s">
        <v>16</v>
      </c>
    </row>
    <row r="47" spans="1:14" x14ac:dyDescent="0.3">
      <c r="A47" s="12">
        <v>10046</v>
      </c>
      <c r="B47" s="13">
        <v>45927</v>
      </c>
      <c r="C47" s="14" t="s">
        <v>41</v>
      </c>
      <c r="D47" s="14" t="s">
        <v>18</v>
      </c>
      <c r="E47" s="14" t="s">
        <v>29</v>
      </c>
      <c r="F47" s="14" t="s">
        <v>83</v>
      </c>
      <c r="G47" s="14" t="s">
        <v>21</v>
      </c>
      <c r="H47" s="14">
        <v>17</v>
      </c>
      <c r="I47" s="14">
        <v>820.29</v>
      </c>
      <c r="J47" s="14">
        <v>13944.93</v>
      </c>
      <c r="K47" s="14">
        <v>11022.75</v>
      </c>
      <c r="L47" s="14">
        <v>2922.18</v>
      </c>
      <c r="M47" s="14" t="s">
        <v>28</v>
      </c>
      <c r="N47" s="15" t="s">
        <v>40</v>
      </c>
    </row>
    <row r="48" spans="1:14" x14ac:dyDescent="0.3">
      <c r="A48" s="8">
        <v>10047</v>
      </c>
      <c r="B48" s="9">
        <v>45748</v>
      </c>
      <c r="C48" s="10" t="s">
        <v>23</v>
      </c>
      <c r="D48" s="10" t="s">
        <v>11</v>
      </c>
      <c r="E48" s="10" t="s">
        <v>38</v>
      </c>
      <c r="F48" s="10" t="s">
        <v>84</v>
      </c>
      <c r="G48" s="10" t="s">
        <v>51</v>
      </c>
      <c r="H48" s="10">
        <v>8</v>
      </c>
      <c r="I48" s="10">
        <v>601.29999999999995</v>
      </c>
      <c r="J48" s="10">
        <v>4810.3999999999996</v>
      </c>
      <c r="K48" s="10">
        <v>2923.63</v>
      </c>
      <c r="L48" s="10">
        <v>1886.77</v>
      </c>
      <c r="M48" s="10" t="s">
        <v>28</v>
      </c>
      <c r="N48" s="11" t="s">
        <v>40</v>
      </c>
    </row>
    <row r="49" spans="1:14" x14ac:dyDescent="0.3">
      <c r="A49" s="12">
        <v>10048</v>
      </c>
      <c r="B49" s="13">
        <v>45871</v>
      </c>
      <c r="C49" s="14" t="s">
        <v>23</v>
      </c>
      <c r="D49" s="14" t="s">
        <v>18</v>
      </c>
      <c r="E49" s="14" t="s">
        <v>19</v>
      </c>
      <c r="F49" s="14" t="s">
        <v>85</v>
      </c>
      <c r="G49" s="14" t="s">
        <v>25</v>
      </c>
      <c r="H49" s="14">
        <v>15</v>
      </c>
      <c r="I49" s="14">
        <v>688.24</v>
      </c>
      <c r="J49" s="14">
        <v>10323.6</v>
      </c>
      <c r="K49" s="14">
        <v>5885.01</v>
      </c>
      <c r="L49" s="14">
        <v>4438.59</v>
      </c>
      <c r="M49" s="14" t="s">
        <v>28</v>
      </c>
      <c r="N49" s="15" t="s">
        <v>46</v>
      </c>
    </row>
    <row r="50" spans="1:14" x14ac:dyDescent="0.3">
      <c r="A50" s="8">
        <v>10049</v>
      </c>
      <c r="B50" s="9">
        <v>46002</v>
      </c>
      <c r="C50" s="10" t="s">
        <v>23</v>
      </c>
      <c r="D50" s="10" t="s">
        <v>32</v>
      </c>
      <c r="E50" s="10" t="s">
        <v>33</v>
      </c>
      <c r="F50" s="10" t="s">
        <v>86</v>
      </c>
      <c r="G50" s="10" t="s">
        <v>25</v>
      </c>
      <c r="H50" s="10">
        <v>5</v>
      </c>
      <c r="I50" s="10">
        <v>66.42</v>
      </c>
      <c r="J50" s="10">
        <v>332.1</v>
      </c>
      <c r="K50" s="10">
        <v>166.13</v>
      </c>
      <c r="L50" s="10">
        <v>165.97</v>
      </c>
      <c r="M50" s="10" t="s">
        <v>15</v>
      </c>
      <c r="N50" s="11" t="s">
        <v>26</v>
      </c>
    </row>
    <row r="51" spans="1:14" x14ac:dyDescent="0.3">
      <c r="A51" s="12">
        <v>10050</v>
      </c>
      <c r="B51" s="13">
        <v>45920</v>
      </c>
      <c r="C51" s="14" t="s">
        <v>17</v>
      </c>
      <c r="D51" s="14" t="s">
        <v>11</v>
      </c>
      <c r="E51" s="14" t="s">
        <v>38</v>
      </c>
      <c r="F51" s="14" t="s">
        <v>87</v>
      </c>
      <c r="G51" s="14" t="s">
        <v>31</v>
      </c>
      <c r="H51" s="14">
        <v>19</v>
      </c>
      <c r="I51" s="14">
        <v>613.30999999999995</v>
      </c>
      <c r="J51" s="14">
        <v>11652.89</v>
      </c>
      <c r="K51" s="14">
        <v>9176.91</v>
      </c>
      <c r="L51" s="14">
        <v>2475.98</v>
      </c>
      <c r="M51" s="14" t="s">
        <v>28</v>
      </c>
      <c r="N51" s="15" t="s">
        <v>26</v>
      </c>
    </row>
    <row r="52" spans="1:14" x14ac:dyDescent="0.3">
      <c r="A52" s="8">
        <v>10051</v>
      </c>
      <c r="B52" s="9">
        <v>45871</v>
      </c>
      <c r="C52" s="10" t="s">
        <v>10</v>
      </c>
      <c r="D52" s="10" t="s">
        <v>11</v>
      </c>
      <c r="E52" s="10" t="s">
        <v>12</v>
      </c>
      <c r="F52" s="10" t="s">
        <v>88</v>
      </c>
      <c r="G52" s="10" t="s">
        <v>37</v>
      </c>
      <c r="H52" s="10">
        <v>12</v>
      </c>
      <c r="I52" s="10">
        <v>63.18</v>
      </c>
      <c r="J52" s="10">
        <v>758.16</v>
      </c>
      <c r="K52" s="10">
        <v>404</v>
      </c>
      <c r="L52" s="10">
        <v>354.16</v>
      </c>
      <c r="M52" s="10" t="s">
        <v>22</v>
      </c>
      <c r="N52" s="11" t="s">
        <v>46</v>
      </c>
    </row>
    <row r="53" spans="1:14" x14ac:dyDescent="0.3">
      <c r="A53" s="12">
        <v>10052</v>
      </c>
      <c r="B53" s="13">
        <v>45953</v>
      </c>
      <c r="C53" s="14" t="s">
        <v>10</v>
      </c>
      <c r="D53" s="14" t="s">
        <v>32</v>
      </c>
      <c r="E53" s="14" t="s">
        <v>49</v>
      </c>
      <c r="F53" s="14" t="s">
        <v>89</v>
      </c>
      <c r="G53" s="14" t="s">
        <v>25</v>
      </c>
      <c r="H53" s="14">
        <v>17</v>
      </c>
      <c r="I53" s="14">
        <v>857.26</v>
      </c>
      <c r="J53" s="14">
        <v>14573.42</v>
      </c>
      <c r="K53" s="14">
        <v>8928.24</v>
      </c>
      <c r="L53" s="14">
        <v>5645.18</v>
      </c>
      <c r="M53" s="14" t="s">
        <v>28</v>
      </c>
      <c r="N53" s="15" t="s">
        <v>16</v>
      </c>
    </row>
    <row r="54" spans="1:14" x14ac:dyDescent="0.3">
      <c r="A54" s="8">
        <v>10053</v>
      </c>
      <c r="B54" s="9">
        <v>45826</v>
      </c>
      <c r="C54" s="10" t="s">
        <v>23</v>
      </c>
      <c r="D54" s="10" t="s">
        <v>11</v>
      </c>
      <c r="E54" s="10" t="s">
        <v>38</v>
      </c>
      <c r="F54" s="10" t="s">
        <v>90</v>
      </c>
      <c r="G54" s="10" t="s">
        <v>21</v>
      </c>
      <c r="H54" s="10">
        <v>13</v>
      </c>
      <c r="I54" s="10">
        <v>404.79</v>
      </c>
      <c r="J54" s="10">
        <v>5262.27</v>
      </c>
      <c r="K54" s="10">
        <v>4369.54</v>
      </c>
      <c r="L54" s="10">
        <v>892.73</v>
      </c>
      <c r="M54" s="10" t="s">
        <v>22</v>
      </c>
      <c r="N54" s="11" t="s">
        <v>26</v>
      </c>
    </row>
    <row r="55" spans="1:14" x14ac:dyDescent="0.3">
      <c r="A55" s="12">
        <v>10054</v>
      </c>
      <c r="B55" s="13">
        <v>46010</v>
      </c>
      <c r="C55" s="14" t="s">
        <v>23</v>
      </c>
      <c r="D55" s="14" t="s">
        <v>18</v>
      </c>
      <c r="E55" s="14" t="s">
        <v>35</v>
      </c>
      <c r="F55" s="14" t="s">
        <v>91</v>
      </c>
      <c r="G55" s="14" t="s">
        <v>25</v>
      </c>
      <c r="H55" s="14">
        <v>17</v>
      </c>
      <c r="I55" s="14">
        <v>602.4</v>
      </c>
      <c r="J55" s="14">
        <v>10240.799999999999</v>
      </c>
      <c r="K55" s="14">
        <v>7291.89</v>
      </c>
      <c r="L55" s="14">
        <v>2948.91</v>
      </c>
      <c r="M55" s="14" t="s">
        <v>28</v>
      </c>
      <c r="N55" s="15" t="s">
        <v>40</v>
      </c>
    </row>
    <row r="56" spans="1:14" x14ac:dyDescent="0.3">
      <c r="A56" s="8">
        <v>10055</v>
      </c>
      <c r="B56" s="9">
        <v>45810</v>
      </c>
      <c r="C56" s="10" t="s">
        <v>17</v>
      </c>
      <c r="D56" s="10" t="s">
        <v>32</v>
      </c>
      <c r="E56" s="10" t="s">
        <v>49</v>
      </c>
      <c r="F56" s="10" t="s">
        <v>92</v>
      </c>
      <c r="G56" s="10" t="s">
        <v>37</v>
      </c>
      <c r="H56" s="10">
        <v>6</v>
      </c>
      <c r="I56" s="10">
        <v>351.4</v>
      </c>
      <c r="J56" s="10">
        <v>2108.4</v>
      </c>
      <c r="K56" s="10">
        <v>1058.25</v>
      </c>
      <c r="L56" s="10">
        <v>1050.1500000000001</v>
      </c>
      <c r="M56" s="10" t="s">
        <v>15</v>
      </c>
      <c r="N56" s="11" t="s">
        <v>46</v>
      </c>
    </row>
    <row r="57" spans="1:14" x14ac:dyDescent="0.3">
      <c r="A57" s="12">
        <v>10056</v>
      </c>
      <c r="B57" s="13">
        <v>45735</v>
      </c>
      <c r="C57" s="14" t="s">
        <v>10</v>
      </c>
      <c r="D57" s="14" t="s">
        <v>32</v>
      </c>
      <c r="E57" s="14" t="s">
        <v>33</v>
      </c>
      <c r="F57" s="14" t="s">
        <v>93</v>
      </c>
      <c r="G57" s="14" t="s">
        <v>21</v>
      </c>
      <c r="H57" s="14">
        <v>10</v>
      </c>
      <c r="I57" s="14">
        <v>1205.74</v>
      </c>
      <c r="J57" s="14">
        <v>12057.4</v>
      </c>
      <c r="K57" s="14">
        <v>8860.6299999999992</v>
      </c>
      <c r="L57" s="14">
        <v>3196.77</v>
      </c>
      <c r="M57" s="14" t="s">
        <v>28</v>
      </c>
      <c r="N57" s="15" t="s">
        <v>46</v>
      </c>
    </row>
    <row r="58" spans="1:14" x14ac:dyDescent="0.3">
      <c r="A58" s="8">
        <v>10057</v>
      </c>
      <c r="B58" s="9">
        <v>45964</v>
      </c>
      <c r="C58" s="10" t="s">
        <v>23</v>
      </c>
      <c r="D58" s="10" t="s">
        <v>32</v>
      </c>
      <c r="E58" s="10" t="s">
        <v>49</v>
      </c>
      <c r="F58" s="10" t="s">
        <v>94</v>
      </c>
      <c r="G58" s="10" t="s">
        <v>51</v>
      </c>
      <c r="H58" s="10">
        <v>19</v>
      </c>
      <c r="I58" s="10">
        <v>1487.42</v>
      </c>
      <c r="J58" s="10">
        <v>28260.98</v>
      </c>
      <c r="K58" s="10">
        <v>24878.3</v>
      </c>
      <c r="L58" s="10">
        <v>3382.68</v>
      </c>
      <c r="M58" s="10" t="s">
        <v>15</v>
      </c>
      <c r="N58" s="11" t="s">
        <v>40</v>
      </c>
    </row>
    <row r="59" spans="1:14" x14ac:dyDescent="0.3">
      <c r="A59" s="12">
        <v>10058</v>
      </c>
      <c r="B59" s="13">
        <v>46011</v>
      </c>
      <c r="C59" s="14" t="s">
        <v>17</v>
      </c>
      <c r="D59" s="14" t="s">
        <v>11</v>
      </c>
      <c r="E59" s="14" t="s">
        <v>38</v>
      </c>
      <c r="F59" s="14" t="s">
        <v>95</v>
      </c>
      <c r="G59" s="14" t="s">
        <v>37</v>
      </c>
      <c r="H59" s="14">
        <v>1</v>
      </c>
      <c r="I59" s="14">
        <v>256.68</v>
      </c>
      <c r="J59" s="14">
        <v>256.68</v>
      </c>
      <c r="K59" s="14">
        <v>180.71</v>
      </c>
      <c r="L59" s="14">
        <v>75.97</v>
      </c>
      <c r="M59" s="14" t="s">
        <v>28</v>
      </c>
      <c r="N59" s="15" t="s">
        <v>16</v>
      </c>
    </row>
    <row r="60" spans="1:14" x14ac:dyDescent="0.3">
      <c r="A60" s="8">
        <v>10059</v>
      </c>
      <c r="B60" s="9">
        <v>45861</v>
      </c>
      <c r="C60" s="10" t="s">
        <v>23</v>
      </c>
      <c r="D60" s="10" t="s">
        <v>11</v>
      </c>
      <c r="E60" s="10" t="s">
        <v>52</v>
      </c>
      <c r="F60" s="10" t="s">
        <v>96</v>
      </c>
      <c r="G60" s="10" t="s">
        <v>25</v>
      </c>
      <c r="H60" s="10">
        <v>19</v>
      </c>
      <c r="I60" s="10">
        <v>978.78</v>
      </c>
      <c r="J60" s="10">
        <v>18596.82</v>
      </c>
      <c r="K60" s="10">
        <v>15353.02</v>
      </c>
      <c r="L60" s="10">
        <v>3243.8</v>
      </c>
      <c r="M60" s="10" t="s">
        <v>28</v>
      </c>
      <c r="N60" s="11" t="s">
        <v>16</v>
      </c>
    </row>
    <row r="61" spans="1:14" x14ac:dyDescent="0.3">
      <c r="A61" s="12">
        <v>10060</v>
      </c>
      <c r="B61" s="13">
        <v>45740</v>
      </c>
      <c r="C61" s="14" t="s">
        <v>17</v>
      </c>
      <c r="D61" s="14" t="s">
        <v>32</v>
      </c>
      <c r="E61" s="14" t="s">
        <v>33</v>
      </c>
      <c r="F61" s="14" t="s">
        <v>97</v>
      </c>
      <c r="G61" s="14" t="s">
        <v>25</v>
      </c>
      <c r="H61" s="14">
        <v>17</v>
      </c>
      <c r="I61" s="14">
        <v>1227.45</v>
      </c>
      <c r="J61" s="14">
        <v>20866.650000000001</v>
      </c>
      <c r="K61" s="14">
        <v>12509.68</v>
      </c>
      <c r="L61" s="14">
        <v>8356.9699999999993</v>
      </c>
      <c r="M61" s="14" t="s">
        <v>28</v>
      </c>
      <c r="N61" s="15" t="s">
        <v>40</v>
      </c>
    </row>
    <row r="62" spans="1:14" x14ac:dyDescent="0.3">
      <c r="A62" s="8">
        <v>10061</v>
      </c>
      <c r="B62" s="9">
        <v>45815</v>
      </c>
      <c r="C62" s="10" t="s">
        <v>41</v>
      </c>
      <c r="D62" s="10" t="s">
        <v>11</v>
      </c>
      <c r="E62" s="10" t="s">
        <v>12</v>
      </c>
      <c r="F62" s="10" t="s">
        <v>98</v>
      </c>
      <c r="G62" s="10" t="s">
        <v>14</v>
      </c>
      <c r="H62" s="10">
        <v>5</v>
      </c>
      <c r="I62" s="10">
        <v>1159.18</v>
      </c>
      <c r="J62" s="10">
        <v>5795.9</v>
      </c>
      <c r="K62" s="10">
        <v>4403.07</v>
      </c>
      <c r="L62" s="10">
        <v>1392.83</v>
      </c>
      <c r="M62" s="10" t="s">
        <v>15</v>
      </c>
      <c r="N62" s="11" t="s">
        <v>46</v>
      </c>
    </row>
    <row r="63" spans="1:14" x14ac:dyDescent="0.3">
      <c r="A63" s="12">
        <v>10062</v>
      </c>
      <c r="B63" s="13">
        <v>45823</v>
      </c>
      <c r="C63" s="14" t="s">
        <v>23</v>
      </c>
      <c r="D63" s="14" t="s">
        <v>18</v>
      </c>
      <c r="E63" s="14" t="s">
        <v>35</v>
      </c>
      <c r="F63" s="14" t="s">
        <v>99</v>
      </c>
      <c r="G63" s="14" t="s">
        <v>31</v>
      </c>
      <c r="H63" s="14">
        <v>3</v>
      </c>
      <c r="I63" s="14">
        <v>1190.8</v>
      </c>
      <c r="J63" s="14">
        <v>3572.4</v>
      </c>
      <c r="K63" s="14">
        <v>2601.23</v>
      </c>
      <c r="L63" s="14">
        <v>971.17</v>
      </c>
      <c r="M63" s="14" t="s">
        <v>22</v>
      </c>
      <c r="N63" s="15" t="s">
        <v>40</v>
      </c>
    </row>
    <row r="64" spans="1:14" x14ac:dyDescent="0.3">
      <c r="A64" s="8">
        <v>10063</v>
      </c>
      <c r="B64" s="9">
        <v>45755</v>
      </c>
      <c r="C64" s="10" t="s">
        <v>17</v>
      </c>
      <c r="D64" s="10" t="s">
        <v>11</v>
      </c>
      <c r="E64" s="10" t="s">
        <v>52</v>
      </c>
      <c r="F64" s="10" t="s">
        <v>100</v>
      </c>
      <c r="G64" s="10" t="s">
        <v>25</v>
      </c>
      <c r="H64" s="10">
        <v>12</v>
      </c>
      <c r="I64" s="10">
        <v>1424.72</v>
      </c>
      <c r="J64" s="10">
        <v>17096.64</v>
      </c>
      <c r="K64" s="10">
        <v>9960.91</v>
      </c>
      <c r="L64" s="10">
        <v>7135.73</v>
      </c>
      <c r="M64" s="10" t="s">
        <v>22</v>
      </c>
      <c r="N64" s="11" t="s">
        <v>26</v>
      </c>
    </row>
    <row r="65" spans="1:14" x14ac:dyDescent="0.3">
      <c r="A65" s="12">
        <v>10064</v>
      </c>
      <c r="B65" s="13">
        <v>46000</v>
      </c>
      <c r="C65" s="14" t="s">
        <v>41</v>
      </c>
      <c r="D65" s="14" t="s">
        <v>11</v>
      </c>
      <c r="E65" s="14" t="s">
        <v>12</v>
      </c>
      <c r="F65" s="14" t="s">
        <v>101</v>
      </c>
      <c r="G65" s="14" t="s">
        <v>25</v>
      </c>
      <c r="H65" s="14">
        <v>15</v>
      </c>
      <c r="I65" s="14">
        <v>1308.21</v>
      </c>
      <c r="J65" s="14">
        <v>19623.150000000001</v>
      </c>
      <c r="K65" s="14">
        <v>11798.19</v>
      </c>
      <c r="L65" s="14">
        <v>7824.96</v>
      </c>
      <c r="M65" s="14" t="s">
        <v>22</v>
      </c>
      <c r="N65" s="15" t="s">
        <v>26</v>
      </c>
    </row>
    <row r="66" spans="1:14" x14ac:dyDescent="0.3">
      <c r="A66" s="8">
        <v>10065</v>
      </c>
      <c r="B66" s="9">
        <v>45705</v>
      </c>
      <c r="C66" s="10" t="s">
        <v>10</v>
      </c>
      <c r="D66" s="10" t="s">
        <v>11</v>
      </c>
      <c r="E66" s="10" t="s">
        <v>52</v>
      </c>
      <c r="F66" s="10" t="s">
        <v>102</v>
      </c>
      <c r="G66" s="10" t="s">
        <v>14</v>
      </c>
      <c r="H66" s="10">
        <v>20</v>
      </c>
      <c r="I66" s="10">
        <v>265.58999999999997</v>
      </c>
      <c r="J66" s="10">
        <v>5311.8</v>
      </c>
      <c r="K66" s="10">
        <v>4043.68</v>
      </c>
      <c r="L66" s="10">
        <v>1268.1199999999999</v>
      </c>
      <c r="M66" s="10" t="s">
        <v>15</v>
      </c>
      <c r="N66" s="11" t="s">
        <v>16</v>
      </c>
    </row>
    <row r="67" spans="1:14" x14ac:dyDescent="0.3">
      <c r="A67" s="12">
        <v>10066</v>
      </c>
      <c r="B67" s="13">
        <v>45681</v>
      </c>
      <c r="C67" s="14" t="s">
        <v>17</v>
      </c>
      <c r="D67" s="14" t="s">
        <v>32</v>
      </c>
      <c r="E67" s="14" t="s">
        <v>49</v>
      </c>
      <c r="F67" s="14" t="s">
        <v>103</v>
      </c>
      <c r="G67" s="14" t="s">
        <v>25</v>
      </c>
      <c r="H67" s="14">
        <v>18</v>
      </c>
      <c r="I67" s="14">
        <v>1232.01</v>
      </c>
      <c r="J67" s="14">
        <v>22176.18</v>
      </c>
      <c r="K67" s="14">
        <v>19179.009999999998</v>
      </c>
      <c r="L67" s="14">
        <v>2997.17</v>
      </c>
      <c r="M67" s="14" t="s">
        <v>15</v>
      </c>
      <c r="N67" s="15" t="s">
        <v>40</v>
      </c>
    </row>
    <row r="68" spans="1:14" x14ac:dyDescent="0.3">
      <c r="A68" s="8">
        <v>10067</v>
      </c>
      <c r="B68" s="9">
        <v>46009</v>
      </c>
      <c r="C68" s="10" t="s">
        <v>17</v>
      </c>
      <c r="D68" s="10" t="s">
        <v>18</v>
      </c>
      <c r="E68" s="10" t="s">
        <v>35</v>
      </c>
      <c r="F68" s="10" t="s">
        <v>104</v>
      </c>
      <c r="G68" s="10" t="s">
        <v>14</v>
      </c>
      <c r="H68" s="10">
        <v>10</v>
      </c>
      <c r="I68" s="10">
        <v>1172.1400000000001</v>
      </c>
      <c r="J68" s="10">
        <v>11721.4</v>
      </c>
      <c r="K68" s="10">
        <v>8496.25</v>
      </c>
      <c r="L68" s="10">
        <v>3225.15</v>
      </c>
      <c r="M68" s="10" t="s">
        <v>28</v>
      </c>
      <c r="N68" s="11" t="s">
        <v>40</v>
      </c>
    </row>
    <row r="69" spans="1:14" x14ac:dyDescent="0.3">
      <c r="A69" s="12">
        <v>10068</v>
      </c>
      <c r="B69" s="13">
        <v>45773</v>
      </c>
      <c r="C69" s="14" t="s">
        <v>41</v>
      </c>
      <c r="D69" s="14" t="s">
        <v>11</v>
      </c>
      <c r="E69" s="14" t="s">
        <v>38</v>
      </c>
      <c r="F69" s="14" t="s">
        <v>105</v>
      </c>
      <c r="G69" s="14" t="s">
        <v>14</v>
      </c>
      <c r="H69" s="14">
        <v>16</v>
      </c>
      <c r="I69" s="14">
        <v>772.89</v>
      </c>
      <c r="J69" s="14">
        <v>12366.24</v>
      </c>
      <c r="K69" s="14">
        <v>7335.16</v>
      </c>
      <c r="L69" s="14">
        <v>5031.08</v>
      </c>
      <c r="M69" s="14" t="s">
        <v>28</v>
      </c>
      <c r="N69" s="15" t="s">
        <v>46</v>
      </c>
    </row>
    <row r="70" spans="1:14" x14ac:dyDescent="0.3">
      <c r="A70" s="8">
        <v>10069</v>
      </c>
      <c r="B70" s="9">
        <v>45695</v>
      </c>
      <c r="C70" s="10" t="s">
        <v>17</v>
      </c>
      <c r="D70" s="10" t="s">
        <v>18</v>
      </c>
      <c r="E70" s="10" t="s">
        <v>29</v>
      </c>
      <c r="F70" s="10" t="s">
        <v>106</v>
      </c>
      <c r="G70" s="10" t="s">
        <v>31</v>
      </c>
      <c r="H70" s="10">
        <v>4</v>
      </c>
      <c r="I70" s="10">
        <v>1272.9100000000001</v>
      </c>
      <c r="J70" s="10">
        <v>5091.6400000000003</v>
      </c>
      <c r="K70" s="10">
        <v>2984.58</v>
      </c>
      <c r="L70" s="10">
        <v>2107.06</v>
      </c>
      <c r="M70" s="10" t="s">
        <v>28</v>
      </c>
      <c r="N70" s="11" t="s">
        <v>26</v>
      </c>
    </row>
    <row r="71" spans="1:14" x14ac:dyDescent="0.3">
      <c r="A71" s="12">
        <v>10070</v>
      </c>
      <c r="B71" s="13">
        <v>45683</v>
      </c>
      <c r="C71" s="14" t="s">
        <v>17</v>
      </c>
      <c r="D71" s="14" t="s">
        <v>32</v>
      </c>
      <c r="E71" s="14" t="s">
        <v>49</v>
      </c>
      <c r="F71" s="14" t="s">
        <v>107</v>
      </c>
      <c r="G71" s="14" t="s">
        <v>21</v>
      </c>
      <c r="H71" s="14">
        <v>15</v>
      </c>
      <c r="I71" s="14">
        <v>1020.29</v>
      </c>
      <c r="J71" s="14">
        <v>15304.35</v>
      </c>
      <c r="K71" s="14">
        <v>13186.3</v>
      </c>
      <c r="L71" s="14">
        <v>2118.0500000000002</v>
      </c>
      <c r="M71" s="14" t="s">
        <v>28</v>
      </c>
      <c r="N71" s="15" t="s">
        <v>46</v>
      </c>
    </row>
    <row r="72" spans="1:14" x14ac:dyDescent="0.3">
      <c r="A72" s="8">
        <v>10071</v>
      </c>
      <c r="B72" s="9">
        <v>45847</v>
      </c>
      <c r="C72" s="10" t="s">
        <v>10</v>
      </c>
      <c r="D72" s="10" t="s">
        <v>18</v>
      </c>
      <c r="E72" s="10" t="s">
        <v>19</v>
      </c>
      <c r="F72" s="10" t="s">
        <v>108</v>
      </c>
      <c r="G72" s="10" t="s">
        <v>14</v>
      </c>
      <c r="H72" s="10">
        <v>5</v>
      </c>
      <c r="I72" s="10">
        <v>1377.81</v>
      </c>
      <c r="J72" s="10">
        <v>6889.05</v>
      </c>
      <c r="K72" s="10">
        <v>3727.58</v>
      </c>
      <c r="L72" s="10">
        <v>3161.47</v>
      </c>
      <c r="M72" s="10" t="s">
        <v>28</v>
      </c>
      <c r="N72" s="11" t="s">
        <v>40</v>
      </c>
    </row>
    <row r="73" spans="1:14" x14ac:dyDescent="0.3">
      <c r="A73" s="12">
        <v>10072</v>
      </c>
      <c r="B73" s="13">
        <v>45805</v>
      </c>
      <c r="C73" s="14" t="s">
        <v>10</v>
      </c>
      <c r="D73" s="14" t="s">
        <v>32</v>
      </c>
      <c r="E73" s="14" t="s">
        <v>33</v>
      </c>
      <c r="F73" s="14" t="s">
        <v>109</v>
      </c>
      <c r="G73" s="14" t="s">
        <v>51</v>
      </c>
      <c r="H73" s="14">
        <v>17</v>
      </c>
      <c r="I73" s="14">
        <v>1079.23</v>
      </c>
      <c r="J73" s="14">
        <v>18346.91</v>
      </c>
      <c r="K73" s="14">
        <v>16492.669999999998</v>
      </c>
      <c r="L73" s="14">
        <v>1854.24</v>
      </c>
      <c r="M73" s="14" t="s">
        <v>22</v>
      </c>
      <c r="N73" s="15" t="s">
        <v>16</v>
      </c>
    </row>
    <row r="74" spans="1:14" x14ac:dyDescent="0.3">
      <c r="A74" s="8">
        <v>10073</v>
      </c>
      <c r="B74" s="9">
        <v>45894</v>
      </c>
      <c r="C74" s="10" t="s">
        <v>10</v>
      </c>
      <c r="D74" s="10" t="s">
        <v>32</v>
      </c>
      <c r="E74" s="10" t="s">
        <v>33</v>
      </c>
      <c r="F74" s="10" t="s">
        <v>110</v>
      </c>
      <c r="G74" s="10" t="s">
        <v>31</v>
      </c>
      <c r="H74" s="10">
        <v>3</v>
      </c>
      <c r="I74" s="10">
        <v>291.13</v>
      </c>
      <c r="J74" s="10">
        <v>873.39</v>
      </c>
      <c r="K74" s="10">
        <v>448.49</v>
      </c>
      <c r="L74" s="10">
        <v>424.9</v>
      </c>
      <c r="M74" s="10" t="s">
        <v>15</v>
      </c>
      <c r="N74" s="11" t="s">
        <v>40</v>
      </c>
    </row>
    <row r="75" spans="1:14" x14ac:dyDescent="0.3">
      <c r="A75" s="12">
        <v>10074</v>
      </c>
      <c r="B75" s="13">
        <v>45907</v>
      </c>
      <c r="C75" s="14" t="s">
        <v>17</v>
      </c>
      <c r="D75" s="14" t="s">
        <v>11</v>
      </c>
      <c r="E75" s="14" t="s">
        <v>38</v>
      </c>
      <c r="F75" s="14" t="s">
        <v>111</v>
      </c>
      <c r="G75" s="14" t="s">
        <v>14</v>
      </c>
      <c r="H75" s="14">
        <v>13</v>
      </c>
      <c r="I75" s="14">
        <v>394.23</v>
      </c>
      <c r="J75" s="14">
        <v>5124.99</v>
      </c>
      <c r="K75" s="14">
        <v>3991.59</v>
      </c>
      <c r="L75" s="14">
        <v>1133.4000000000001</v>
      </c>
      <c r="M75" s="14" t="s">
        <v>28</v>
      </c>
      <c r="N75" s="15" t="s">
        <v>46</v>
      </c>
    </row>
    <row r="76" spans="1:14" x14ac:dyDescent="0.3">
      <c r="A76" s="8">
        <v>10075</v>
      </c>
      <c r="B76" s="9">
        <v>45850</v>
      </c>
      <c r="C76" s="10" t="s">
        <v>10</v>
      </c>
      <c r="D76" s="10" t="s">
        <v>11</v>
      </c>
      <c r="E76" s="10" t="s">
        <v>38</v>
      </c>
      <c r="F76" s="10" t="s">
        <v>112</v>
      </c>
      <c r="G76" s="10" t="s">
        <v>21</v>
      </c>
      <c r="H76" s="10">
        <v>20</v>
      </c>
      <c r="I76" s="10">
        <v>446.42</v>
      </c>
      <c r="J76" s="10">
        <v>8928.4</v>
      </c>
      <c r="K76" s="10">
        <v>7239.97</v>
      </c>
      <c r="L76" s="10">
        <v>1688.43</v>
      </c>
      <c r="M76" s="10" t="s">
        <v>28</v>
      </c>
      <c r="N76" s="11" t="s">
        <v>26</v>
      </c>
    </row>
    <row r="77" spans="1:14" x14ac:dyDescent="0.3">
      <c r="A77" s="12">
        <v>10076</v>
      </c>
      <c r="B77" s="13">
        <v>45985</v>
      </c>
      <c r="C77" s="14" t="s">
        <v>23</v>
      </c>
      <c r="D77" s="14" t="s">
        <v>11</v>
      </c>
      <c r="E77" s="14" t="s">
        <v>38</v>
      </c>
      <c r="F77" s="14" t="s">
        <v>113</v>
      </c>
      <c r="G77" s="14" t="s">
        <v>31</v>
      </c>
      <c r="H77" s="14">
        <v>8</v>
      </c>
      <c r="I77" s="14">
        <v>599.49</v>
      </c>
      <c r="J77" s="14">
        <v>4795.92</v>
      </c>
      <c r="K77" s="14">
        <v>2621.87</v>
      </c>
      <c r="L77" s="14">
        <v>2174.0500000000002</v>
      </c>
      <c r="M77" s="14" t="s">
        <v>28</v>
      </c>
      <c r="N77" s="15" t="s">
        <v>26</v>
      </c>
    </row>
    <row r="78" spans="1:14" x14ac:dyDescent="0.3">
      <c r="A78" s="8">
        <v>10077</v>
      </c>
      <c r="B78" s="9">
        <v>45880</v>
      </c>
      <c r="C78" s="10" t="s">
        <v>10</v>
      </c>
      <c r="D78" s="10" t="s">
        <v>18</v>
      </c>
      <c r="E78" s="10" t="s">
        <v>19</v>
      </c>
      <c r="F78" s="10" t="s">
        <v>114</v>
      </c>
      <c r="G78" s="10" t="s">
        <v>37</v>
      </c>
      <c r="H78" s="10">
        <v>4</v>
      </c>
      <c r="I78" s="10">
        <v>1193.98</v>
      </c>
      <c r="J78" s="10">
        <v>4775.92</v>
      </c>
      <c r="K78" s="10">
        <v>3218.34</v>
      </c>
      <c r="L78" s="10">
        <v>1557.58</v>
      </c>
      <c r="M78" s="10" t="s">
        <v>28</v>
      </c>
      <c r="N78" s="11" t="s">
        <v>40</v>
      </c>
    </row>
    <row r="79" spans="1:14" x14ac:dyDescent="0.3">
      <c r="A79" s="12">
        <v>10078</v>
      </c>
      <c r="B79" s="13">
        <v>45898</v>
      </c>
      <c r="C79" s="14" t="s">
        <v>41</v>
      </c>
      <c r="D79" s="14" t="s">
        <v>32</v>
      </c>
      <c r="E79" s="14" t="s">
        <v>33</v>
      </c>
      <c r="F79" s="14" t="s">
        <v>115</v>
      </c>
      <c r="G79" s="14" t="s">
        <v>14</v>
      </c>
      <c r="H79" s="14">
        <v>7</v>
      </c>
      <c r="I79" s="14">
        <v>302.60000000000002</v>
      </c>
      <c r="J79" s="14">
        <v>2118.1999999999998</v>
      </c>
      <c r="K79" s="14">
        <v>1129.71</v>
      </c>
      <c r="L79" s="14">
        <v>988.49</v>
      </c>
      <c r="M79" s="14" t="s">
        <v>15</v>
      </c>
      <c r="N79" s="15" t="s">
        <v>26</v>
      </c>
    </row>
    <row r="80" spans="1:14" x14ac:dyDescent="0.3">
      <c r="A80" s="8">
        <v>10079</v>
      </c>
      <c r="B80" s="9">
        <v>45964</v>
      </c>
      <c r="C80" s="10" t="s">
        <v>10</v>
      </c>
      <c r="D80" s="10" t="s">
        <v>32</v>
      </c>
      <c r="E80" s="10" t="s">
        <v>49</v>
      </c>
      <c r="F80" s="10" t="s">
        <v>116</v>
      </c>
      <c r="G80" s="10" t="s">
        <v>51</v>
      </c>
      <c r="H80" s="10">
        <v>5</v>
      </c>
      <c r="I80" s="10">
        <v>1394.88</v>
      </c>
      <c r="J80" s="10">
        <v>6974.4</v>
      </c>
      <c r="K80" s="10">
        <v>3517.76</v>
      </c>
      <c r="L80" s="10">
        <v>3456.64</v>
      </c>
      <c r="M80" s="10" t="s">
        <v>15</v>
      </c>
      <c r="N80" s="11" t="s">
        <v>46</v>
      </c>
    </row>
    <row r="81" spans="1:14" x14ac:dyDescent="0.3">
      <c r="A81" s="12">
        <v>10080</v>
      </c>
      <c r="B81" s="13">
        <v>45971</v>
      </c>
      <c r="C81" s="14" t="s">
        <v>41</v>
      </c>
      <c r="D81" s="14" t="s">
        <v>18</v>
      </c>
      <c r="E81" s="14" t="s">
        <v>29</v>
      </c>
      <c r="F81" s="14" t="s">
        <v>117</v>
      </c>
      <c r="G81" s="14" t="s">
        <v>31</v>
      </c>
      <c r="H81" s="14">
        <v>5</v>
      </c>
      <c r="I81" s="14">
        <v>199.37</v>
      </c>
      <c r="J81" s="14">
        <v>996.85</v>
      </c>
      <c r="K81" s="14">
        <v>814.26</v>
      </c>
      <c r="L81" s="14">
        <v>182.59</v>
      </c>
      <c r="M81" s="14" t="s">
        <v>28</v>
      </c>
      <c r="N81" s="15" t="s">
        <v>40</v>
      </c>
    </row>
    <row r="82" spans="1:14" x14ac:dyDescent="0.3">
      <c r="A82" s="8">
        <v>10081</v>
      </c>
      <c r="B82" s="9">
        <v>45677</v>
      </c>
      <c r="C82" s="10" t="s">
        <v>23</v>
      </c>
      <c r="D82" s="10" t="s">
        <v>32</v>
      </c>
      <c r="E82" s="10" t="s">
        <v>69</v>
      </c>
      <c r="F82" s="10" t="s">
        <v>118</v>
      </c>
      <c r="G82" s="10" t="s">
        <v>14</v>
      </c>
      <c r="H82" s="10">
        <v>4</v>
      </c>
      <c r="I82" s="10">
        <v>1296.6099999999999</v>
      </c>
      <c r="J82" s="10">
        <v>5186.4399999999996</v>
      </c>
      <c r="K82" s="10">
        <v>3232.54</v>
      </c>
      <c r="L82" s="10">
        <v>1953.9</v>
      </c>
      <c r="M82" s="10" t="s">
        <v>28</v>
      </c>
      <c r="N82" s="11" t="s">
        <v>40</v>
      </c>
    </row>
    <row r="83" spans="1:14" x14ac:dyDescent="0.3">
      <c r="A83" s="12">
        <v>10082</v>
      </c>
      <c r="B83" s="13">
        <v>45912</v>
      </c>
      <c r="C83" s="14" t="s">
        <v>23</v>
      </c>
      <c r="D83" s="14" t="s">
        <v>18</v>
      </c>
      <c r="E83" s="14" t="s">
        <v>29</v>
      </c>
      <c r="F83" s="14" t="s">
        <v>119</v>
      </c>
      <c r="G83" s="14" t="s">
        <v>14</v>
      </c>
      <c r="H83" s="14">
        <v>4</v>
      </c>
      <c r="I83" s="14">
        <v>604.99</v>
      </c>
      <c r="J83" s="14">
        <v>2419.96</v>
      </c>
      <c r="K83" s="14">
        <v>1882.95</v>
      </c>
      <c r="L83" s="14">
        <v>537.01</v>
      </c>
      <c r="M83" s="14" t="s">
        <v>22</v>
      </c>
      <c r="N83" s="15" t="s">
        <v>26</v>
      </c>
    </row>
    <row r="84" spans="1:14" x14ac:dyDescent="0.3">
      <c r="A84" s="8">
        <v>10083</v>
      </c>
      <c r="B84" s="9">
        <v>45726</v>
      </c>
      <c r="C84" s="10" t="s">
        <v>10</v>
      </c>
      <c r="D84" s="10" t="s">
        <v>18</v>
      </c>
      <c r="E84" s="10" t="s">
        <v>35</v>
      </c>
      <c r="F84" s="10" t="s">
        <v>120</v>
      </c>
      <c r="G84" s="10" t="s">
        <v>31</v>
      </c>
      <c r="H84" s="10">
        <v>6</v>
      </c>
      <c r="I84" s="10">
        <v>94.77</v>
      </c>
      <c r="J84" s="10">
        <v>568.62</v>
      </c>
      <c r="K84" s="10">
        <v>308.25</v>
      </c>
      <c r="L84" s="10">
        <v>260.37</v>
      </c>
      <c r="M84" s="10" t="s">
        <v>15</v>
      </c>
      <c r="N84" s="11" t="s">
        <v>40</v>
      </c>
    </row>
    <row r="85" spans="1:14" x14ac:dyDescent="0.3">
      <c r="A85" s="12">
        <v>10084</v>
      </c>
      <c r="B85" s="13">
        <v>45954</v>
      </c>
      <c r="C85" s="14" t="s">
        <v>41</v>
      </c>
      <c r="D85" s="14" t="s">
        <v>11</v>
      </c>
      <c r="E85" s="14" t="s">
        <v>12</v>
      </c>
      <c r="F85" s="14" t="s">
        <v>121</v>
      </c>
      <c r="G85" s="14" t="s">
        <v>25</v>
      </c>
      <c r="H85" s="14">
        <v>1</v>
      </c>
      <c r="I85" s="14">
        <v>1124.92</v>
      </c>
      <c r="J85" s="14">
        <v>1124.92</v>
      </c>
      <c r="K85" s="14">
        <v>797.19</v>
      </c>
      <c r="L85" s="14">
        <v>327.73</v>
      </c>
      <c r="M85" s="14" t="s">
        <v>22</v>
      </c>
      <c r="N85" s="15" t="s">
        <v>46</v>
      </c>
    </row>
    <row r="86" spans="1:14" x14ac:dyDescent="0.3">
      <c r="A86" s="8">
        <v>10085</v>
      </c>
      <c r="B86" s="9">
        <v>45964</v>
      </c>
      <c r="C86" s="10" t="s">
        <v>10</v>
      </c>
      <c r="D86" s="10" t="s">
        <v>18</v>
      </c>
      <c r="E86" s="10" t="s">
        <v>19</v>
      </c>
      <c r="F86" s="10" t="s">
        <v>122</v>
      </c>
      <c r="G86" s="10" t="s">
        <v>51</v>
      </c>
      <c r="H86" s="10">
        <v>6</v>
      </c>
      <c r="I86" s="10">
        <v>851.13</v>
      </c>
      <c r="J86" s="10">
        <v>5106.78</v>
      </c>
      <c r="K86" s="10">
        <v>3400.27</v>
      </c>
      <c r="L86" s="10">
        <v>1706.51</v>
      </c>
      <c r="M86" s="10" t="s">
        <v>22</v>
      </c>
      <c r="N86" s="11" t="s">
        <v>16</v>
      </c>
    </row>
    <row r="87" spans="1:14" x14ac:dyDescent="0.3">
      <c r="A87" s="12">
        <v>10086</v>
      </c>
      <c r="B87" s="13">
        <v>45789</v>
      </c>
      <c r="C87" s="14" t="s">
        <v>10</v>
      </c>
      <c r="D87" s="14" t="s">
        <v>11</v>
      </c>
      <c r="E87" s="14" t="s">
        <v>12</v>
      </c>
      <c r="F87" s="14" t="s">
        <v>123</v>
      </c>
      <c r="G87" s="14" t="s">
        <v>37</v>
      </c>
      <c r="H87" s="14">
        <v>10</v>
      </c>
      <c r="I87" s="14">
        <v>1282.73</v>
      </c>
      <c r="J87" s="14">
        <v>12827.3</v>
      </c>
      <c r="K87" s="14">
        <v>7881.27</v>
      </c>
      <c r="L87" s="14">
        <v>4946.03</v>
      </c>
      <c r="M87" s="14" t="s">
        <v>22</v>
      </c>
      <c r="N87" s="15" t="s">
        <v>26</v>
      </c>
    </row>
    <row r="88" spans="1:14" x14ac:dyDescent="0.3">
      <c r="A88" s="8">
        <v>10087</v>
      </c>
      <c r="B88" s="9">
        <v>45707</v>
      </c>
      <c r="C88" s="10" t="s">
        <v>17</v>
      </c>
      <c r="D88" s="10" t="s">
        <v>32</v>
      </c>
      <c r="E88" s="10" t="s">
        <v>33</v>
      </c>
      <c r="F88" s="10" t="s">
        <v>124</v>
      </c>
      <c r="G88" s="10" t="s">
        <v>14</v>
      </c>
      <c r="H88" s="10">
        <v>18</v>
      </c>
      <c r="I88" s="10">
        <v>804.61</v>
      </c>
      <c r="J88" s="10">
        <v>14482.98</v>
      </c>
      <c r="K88" s="10">
        <v>7955.81</v>
      </c>
      <c r="L88" s="10">
        <v>6527.17</v>
      </c>
      <c r="M88" s="10" t="s">
        <v>28</v>
      </c>
      <c r="N88" s="11" t="s">
        <v>26</v>
      </c>
    </row>
    <row r="89" spans="1:14" x14ac:dyDescent="0.3">
      <c r="A89" s="12">
        <v>10088</v>
      </c>
      <c r="B89" s="13">
        <v>46014</v>
      </c>
      <c r="C89" s="14" t="s">
        <v>23</v>
      </c>
      <c r="D89" s="14" t="s">
        <v>11</v>
      </c>
      <c r="E89" s="14" t="s">
        <v>38</v>
      </c>
      <c r="F89" s="14" t="s">
        <v>125</v>
      </c>
      <c r="G89" s="14" t="s">
        <v>51</v>
      </c>
      <c r="H89" s="14">
        <v>1</v>
      </c>
      <c r="I89" s="14">
        <v>1494.72</v>
      </c>
      <c r="J89" s="14">
        <v>1494.72</v>
      </c>
      <c r="K89" s="14">
        <v>910.67</v>
      </c>
      <c r="L89" s="14">
        <v>584.04999999999995</v>
      </c>
      <c r="M89" s="14" t="s">
        <v>15</v>
      </c>
      <c r="N89" s="15" t="s">
        <v>40</v>
      </c>
    </row>
    <row r="90" spans="1:14" x14ac:dyDescent="0.3">
      <c r="A90" s="8">
        <v>10089</v>
      </c>
      <c r="B90" s="9">
        <v>45696</v>
      </c>
      <c r="C90" s="10" t="s">
        <v>17</v>
      </c>
      <c r="D90" s="10" t="s">
        <v>11</v>
      </c>
      <c r="E90" s="10" t="s">
        <v>12</v>
      </c>
      <c r="F90" s="10" t="s">
        <v>126</v>
      </c>
      <c r="G90" s="10" t="s">
        <v>31</v>
      </c>
      <c r="H90" s="10">
        <v>15</v>
      </c>
      <c r="I90" s="10">
        <v>1291.05</v>
      </c>
      <c r="J90" s="10">
        <v>19365.75</v>
      </c>
      <c r="K90" s="10">
        <v>12094.66</v>
      </c>
      <c r="L90" s="10">
        <v>7271.09</v>
      </c>
      <c r="M90" s="10" t="s">
        <v>28</v>
      </c>
      <c r="N90" s="11" t="s">
        <v>46</v>
      </c>
    </row>
    <row r="91" spans="1:14" x14ac:dyDescent="0.3">
      <c r="A91" s="12">
        <v>10090</v>
      </c>
      <c r="B91" s="13">
        <v>45807</v>
      </c>
      <c r="C91" s="14" t="s">
        <v>17</v>
      </c>
      <c r="D91" s="14" t="s">
        <v>18</v>
      </c>
      <c r="E91" s="14" t="s">
        <v>29</v>
      </c>
      <c r="F91" s="14" t="s">
        <v>127</v>
      </c>
      <c r="G91" s="14" t="s">
        <v>21</v>
      </c>
      <c r="H91" s="14">
        <v>9</v>
      </c>
      <c r="I91" s="14">
        <v>699.6</v>
      </c>
      <c r="J91" s="14">
        <v>6296.4</v>
      </c>
      <c r="K91" s="14">
        <v>4515.4399999999996</v>
      </c>
      <c r="L91" s="14">
        <v>1780.96</v>
      </c>
      <c r="M91" s="14" t="s">
        <v>15</v>
      </c>
      <c r="N91" s="15" t="s">
        <v>46</v>
      </c>
    </row>
    <row r="92" spans="1:14" x14ac:dyDescent="0.3">
      <c r="A92" s="8">
        <v>10091</v>
      </c>
      <c r="B92" s="9">
        <v>45778</v>
      </c>
      <c r="C92" s="10" t="s">
        <v>41</v>
      </c>
      <c r="D92" s="10" t="s">
        <v>18</v>
      </c>
      <c r="E92" s="10" t="s">
        <v>19</v>
      </c>
      <c r="F92" s="10" t="s">
        <v>128</v>
      </c>
      <c r="G92" s="10" t="s">
        <v>31</v>
      </c>
      <c r="H92" s="10">
        <v>20</v>
      </c>
      <c r="I92" s="10">
        <v>912.57</v>
      </c>
      <c r="J92" s="10">
        <v>18251.400000000001</v>
      </c>
      <c r="K92" s="10">
        <v>11611.73</v>
      </c>
      <c r="L92" s="10">
        <v>6639.67</v>
      </c>
      <c r="M92" s="10" t="s">
        <v>28</v>
      </c>
      <c r="N92" s="11" t="s">
        <v>16</v>
      </c>
    </row>
    <row r="93" spans="1:14" x14ac:dyDescent="0.3">
      <c r="A93" s="12">
        <v>10092</v>
      </c>
      <c r="B93" s="13">
        <v>45942</v>
      </c>
      <c r="C93" s="14" t="s">
        <v>23</v>
      </c>
      <c r="D93" s="14" t="s">
        <v>18</v>
      </c>
      <c r="E93" s="14" t="s">
        <v>19</v>
      </c>
      <c r="F93" s="14" t="s">
        <v>129</v>
      </c>
      <c r="G93" s="14" t="s">
        <v>21</v>
      </c>
      <c r="H93" s="14">
        <v>9</v>
      </c>
      <c r="I93" s="14">
        <v>634.30999999999995</v>
      </c>
      <c r="J93" s="14">
        <v>5708.79</v>
      </c>
      <c r="K93" s="14">
        <v>4129.92</v>
      </c>
      <c r="L93" s="14">
        <v>1578.87</v>
      </c>
      <c r="M93" s="14" t="s">
        <v>15</v>
      </c>
      <c r="N93" s="15" t="s">
        <v>26</v>
      </c>
    </row>
    <row r="94" spans="1:14" x14ac:dyDescent="0.3">
      <c r="A94" s="8">
        <v>10093</v>
      </c>
      <c r="B94" s="9">
        <v>45871</v>
      </c>
      <c r="C94" s="10" t="s">
        <v>10</v>
      </c>
      <c r="D94" s="10" t="s">
        <v>11</v>
      </c>
      <c r="E94" s="10" t="s">
        <v>12</v>
      </c>
      <c r="F94" s="10" t="s">
        <v>130</v>
      </c>
      <c r="G94" s="10" t="s">
        <v>14</v>
      </c>
      <c r="H94" s="10">
        <v>19</v>
      </c>
      <c r="I94" s="10">
        <v>1331.44</v>
      </c>
      <c r="J94" s="10">
        <v>25297.360000000001</v>
      </c>
      <c r="K94" s="10">
        <v>21284.37</v>
      </c>
      <c r="L94" s="10">
        <v>4012.99</v>
      </c>
      <c r="M94" s="10" t="s">
        <v>22</v>
      </c>
      <c r="N94" s="11" t="s">
        <v>16</v>
      </c>
    </row>
    <row r="95" spans="1:14" x14ac:dyDescent="0.3">
      <c r="A95" s="12">
        <v>10094</v>
      </c>
      <c r="B95" s="13">
        <v>45714</v>
      </c>
      <c r="C95" s="14" t="s">
        <v>10</v>
      </c>
      <c r="D95" s="14" t="s">
        <v>18</v>
      </c>
      <c r="E95" s="14" t="s">
        <v>35</v>
      </c>
      <c r="F95" s="14" t="s">
        <v>131</v>
      </c>
      <c r="G95" s="14" t="s">
        <v>51</v>
      </c>
      <c r="H95" s="14">
        <v>12</v>
      </c>
      <c r="I95" s="14">
        <v>1357.93</v>
      </c>
      <c r="J95" s="14">
        <v>16295.16</v>
      </c>
      <c r="K95" s="14">
        <v>10638.25</v>
      </c>
      <c r="L95" s="14">
        <v>5656.91</v>
      </c>
      <c r="M95" s="14" t="s">
        <v>22</v>
      </c>
      <c r="N95" s="15" t="s">
        <v>26</v>
      </c>
    </row>
    <row r="96" spans="1:14" x14ac:dyDescent="0.3">
      <c r="A96" s="8">
        <v>10095</v>
      </c>
      <c r="B96" s="9">
        <v>45684</v>
      </c>
      <c r="C96" s="10" t="s">
        <v>17</v>
      </c>
      <c r="D96" s="10" t="s">
        <v>18</v>
      </c>
      <c r="E96" s="10" t="s">
        <v>35</v>
      </c>
      <c r="F96" s="10" t="s">
        <v>132</v>
      </c>
      <c r="G96" s="10" t="s">
        <v>31</v>
      </c>
      <c r="H96" s="10">
        <v>4</v>
      </c>
      <c r="I96" s="10">
        <v>993.6</v>
      </c>
      <c r="J96" s="10">
        <v>3974.4</v>
      </c>
      <c r="K96" s="10">
        <v>2846.49</v>
      </c>
      <c r="L96" s="10">
        <v>1127.9100000000001</v>
      </c>
      <c r="M96" s="10" t="s">
        <v>28</v>
      </c>
      <c r="N96" s="11" t="s">
        <v>46</v>
      </c>
    </row>
    <row r="97" spans="1:14" x14ac:dyDescent="0.3">
      <c r="A97" s="12">
        <v>10096</v>
      </c>
      <c r="B97" s="13">
        <v>45773</v>
      </c>
      <c r="C97" s="14" t="s">
        <v>17</v>
      </c>
      <c r="D97" s="14" t="s">
        <v>18</v>
      </c>
      <c r="E97" s="14" t="s">
        <v>35</v>
      </c>
      <c r="F97" s="14" t="s">
        <v>133</v>
      </c>
      <c r="G97" s="14" t="s">
        <v>25</v>
      </c>
      <c r="H97" s="14">
        <v>12</v>
      </c>
      <c r="I97" s="14">
        <v>1201.8399999999999</v>
      </c>
      <c r="J97" s="14">
        <v>14422.08</v>
      </c>
      <c r="K97" s="14">
        <v>9268.44</v>
      </c>
      <c r="L97" s="14">
        <v>5153.6400000000003</v>
      </c>
      <c r="M97" s="14" t="s">
        <v>15</v>
      </c>
      <c r="N97" s="15" t="s">
        <v>16</v>
      </c>
    </row>
    <row r="98" spans="1:14" x14ac:dyDescent="0.3">
      <c r="A98" s="8">
        <v>10097</v>
      </c>
      <c r="B98" s="9">
        <v>45768</v>
      </c>
      <c r="C98" s="10" t="s">
        <v>10</v>
      </c>
      <c r="D98" s="10" t="s">
        <v>11</v>
      </c>
      <c r="E98" s="10" t="s">
        <v>12</v>
      </c>
      <c r="F98" s="10" t="s">
        <v>134</v>
      </c>
      <c r="G98" s="10" t="s">
        <v>21</v>
      </c>
      <c r="H98" s="10">
        <v>12</v>
      </c>
      <c r="I98" s="10">
        <v>897.96</v>
      </c>
      <c r="J98" s="10">
        <v>10775.52</v>
      </c>
      <c r="K98" s="10">
        <v>7677.75</v>
      </c>
      <c r="L98" s="10">
        <v>3097.77</v>
      </c>
      <c r="M98" s="10" t="s">
        <v>22</v>
      </c>
      <c r="N98" s="11" t="s">
        <v>46</v>
      </c>
    </row>
    <row r="99" spans="1:14" x14ac:dyDescent="0.3">
      <c r="A99" s="12">
        <v>10098</v>
      </c>
      <c r="B99" s="13">
        <v>45859</v>
      </c>
      <c r="C99" s="14" t="s">
        <v>41</v>
      </c>
      <c r="D99" s="14" t="s">
        <v>32</v>
      </c>
      <c r="E99" s="14" t="s">
        <v>69</v>
      </c>
      <c r="F99" s="14" t="s">
        <v>135</v>
      </c>
      <c r="G99" s="14" t="s">
        <v>25</v>
      </c>
      <c r="H99" s="14">
        <v>3</v>
      </c>
      <c r="I99" s="14">
        <v>1482.45</v>
      </c>
      <c r="J99" s="14">
        <v>4447.3500000000004</v>
      </c>
      <c r="K99" s="14">
        <v>3639.22</v>
      </c>
      <c r="L99" s="14">
        <v>808.13</v>
      </c>
      <c r="M99" s="14" t="s">
        <v>15</v>
      </c>
      <c r="N99" s="15" t="s">
        <v>40</v>
      </c>
    </row>
    <row r="100" spans="1:14" x14ac:dyDescent="0.3">
      <c r="A100" s="8">
        <v>10099</v>
      </c>
      <c r="B100" s="9">
        <v>45810</v>
      </c>
      <c r="C100" s="10" t="s">
        <v>17</v>
      </c>
      <c r="D100" s="10" t="s">
        <v>18</v>
      </c>
      <c r="E100" s="10" t="s">
        <v>35</v>
      </c>
      <c r="F100" s="10" t="s">
        <v>136</v>
      </c>
      <c r="G100" s="10" t="s">
        <v>14</v>
      </c>
      <c r="H100" s="10">
        <v>1</v>
      </c>
      <c r="I100" s="10">
        <v>440.7</v>
      </c>
      <c r="J100" s="10">
        <v>440.7</v>
      </c>
      <c r="K100" s="10">
        <v>280.44</v>
      </c>
      <c r="L100" s="10">
        <v>160.26</v>
      </c>
      <c r="M100" s="10" t="s">
        <v>15</v>
      </c>
      <c r="N100" s="11" t="s">
        <v>26</v>
      </c>
    </row>
    <row r="101" spans="1:14" x14ac:dyDescent="0.3">
      <c r="A101" s="12">
        <v>10100</v>
      </c>
      <c r="B101" s="13">
        <v>45670</v>
      </c>
      <c r="C101" s="14" t="s">
        <v>17</v>
      </c>
      <c r="D101" s="14" t="s">
        <v>32</v>
      </c>
      <c r="E101" s="14" t="s">
        <v>49</v>
      </c>
      <c r="F101" s="14" t="s">
        <v>137</v>
      </c>
      <c r="G101" s="14" t="s">
        <v>37</v>
      </c>
      <c r="H101" s="14">
        <v>4</v>
      </c>
      <c r="I101" s="14">
        <v>730.28</v>
      </c>
      <c r="J101" s="14">
        <v>2921.12</v>
      </c>
      <c r="K101" s="14">
        <v>2246.41</v>
      </c>
      <c r="L101" s="14">
        <v>674.71</v>
      </c>
      <c r="M101" s="14" t="s">
        <v>28</v>
      </c>
      <c r="N101" s="15" t="s">
        <v>26</v>
      </c>
    </row>
    <row r="102" spans="1:14" x14ac:dyDescent="0.3">
      <c r="A102" s="8">
        <v>10101</v>
      </c>
      <c r="B102" s="9">
        <v>45825</v>
      </c>
      <c r="C102" s="10" t="s">
        <v>41</v>
      </c>
      <c r="D102" s="10" t="s">
        <v>32</v>
      </c>
      <c r="E102" s="10" t="s">
        <v>69</v>
      </c>
      <c r="F102" s="10" t="s">
        <v>138</v>
      </c>
      <c r="G102" s="10" t="s">
        <v>51</v>
      </c>
      <c r="H102" s="10">
        <v>4</v>
      </c>
      <c r="I102" s="10">
        <v>1304.5</v>
      </c>
      <c r="J102" s="10">
        <v>5218</v>
      </c>
      <c r="K102" s="10">
        <v>3616.16</v>
      </c>
      <c r="L102" s="10">
        <v>1601.84</v>
      </c>
      <c r="M102" s="10" t="s">
        <v>15</v>
      </c>
      <c r="N102" s="11" t="s">
        <v>46</v>
      </c>
    </row>
    <row r="103" spans="1:14" x14ac:dyDescent="0.3">
      <c r="A103" s="12">
        <v>10102</v>
      </c>
      <c r="B103" s="13">
        <v>45693</v>
      </c>
      <c r="C103" s="14" t="s">
        <v>41</v>
      </c>
      <c r="D103" s="14" t="s">
        <v>18</v>
      </c>
      <c r="E103" s="14" t="s">
        <v>35</v>
      </c>
      <c r="F103" s="14" t="s">
        <v>91</v>
      </c>
      <c r="G103" s="14" t="s">
        <v>21</v>
      </c>
      <c r="H103" s="14">
        <v>16</v>
      </c>
      <c r="I103" s="14">
        <v>116.45</v>
      </c>
      <c r="J103" s="14">
        <v>1863.2</v>
      </c>
      <c r="K103" s="14">
        <v>941.07</v>
      </c>
      <c r="L103" s="14">
        <v>922.13</v>
      </c>
      <c r="M103" s="14" t="s">
        <v>28</v>
      </c>
      <c r="N103" s="15" t="s">
        <v>46</v>
      </c>
    </row>
    <row r="104" spans="1:14" x14ac:dyDescent="0.3">
      <c r="A104" s="8">
        <v>10103</v>
      </c>
      <c r="B104" s="9">
        <v>45691</v>
      </c>
      <c r="C104" s="10" t="s">
        <v>41</v>
      </c>
      <c r="D104" s="10" t="s">
        <v>18</v>
      </c>
      <c r="E104" s="10" t="s">
        <v>19</v>
      </c>
      <c r="F104" s="10" t="s">
        <v>139</v>
      </c>
      <c r="G104" s="10" t="s">
        <v>31</v>
      </c>
      <c r="H104" s="10">
        <v>13</v>
      </c>
      <c r="I104" s="10">
        <v>321.13</v>
      </c>
      <c r="J104" s="10">
        <v>4174.6899999999996</v>
      </c>
      <c r="K104" s="10">
        <v>3164.83</v>
      </c>
      <c r="L104" s="10">
        <v>1009.86</v>
      </c>
      <c r="M104" s="10" t="s">
        <v>28</v>
      </c>
      <c r="N104" s="11" t="s">
        <v>16</v>
      </c>
    </row>
    <row r="105" spans="1:14" x14ac:dyDescent="0.3">
      <c r="A105" s="12">
        <v>10104</v>
      </c>
      <c r="B105" s="13">
        <v>45880</v>
      </c>
      <c r="C105" s="14" t="s">
        <v>41</v>
      </c>
      <c r="D105" s="14" t="s">
        <v>18</v>
      </c>
      <c r="E105" s="14" t="s">
        <v>29</v>
      </c>
      <c r="F105" s="14" t="s">
        <v>140</v>
      </c>
      <c r="G105" s="14" t="s">
        <v>21</v>
      </c>
      <c r="H105" s="14">
        <v>2</v>
      </c>
      <c r="I105" s="14">
        <v>65.91</v>
      </c>
      <c r="J105" s="14">
        <v>131.82</v>
      </c>
      <c r="K105" s="14">
        <v>72.91</v>
      </c>
      <c r="L105" s="14">
        <v>58.91</v>
      </c>
      <c r="M105" s="14" t="s">
        <v>22</v>
      </c>
      <c r="N105" s="15" t="s">
        <v>40</v>
      </c>
    </row>
    <row r="106" spans="1:14" x14ac:dyDescent="0.3">
      <c r="A106" s="8">
        <v>10105</v>
      </c>
      <c r="B106" s="9">
        <v>45816</v>
      </c>
      <c r="C106" s="10" t="s">
        <v>23</v>
      </c>
      <c r="D106" s="10" t="s">
        <v>11</v>
      </c>
      <c r="E106" s="10" t="s">
        <v>52</v>
      </c>
      <c r="F106" s="10" t="s">
        <v>141</v>
      </c>
      <c r="G106" s="10" t="s">
        <v>51</v>
      </c>
      <c r="H106" s="10">
        <v>10</v>
      </c>
      <c r="I106" s="10">
        <v>1287.6199999999999</v>
      </c>
      <c r="J106" s="10">
        <v>12876.2</v>
      </c>
      <c r="K106" s="10">
        <v>7005.71</v>
      </c>
      <c r="L106" s="10">
        <v>5870.49</v>
      </c>
      <c r="M106" s="10" t="s">
        <v>15</v>
      </c>
      <c r="N106" s="11" t="s">
        <v>40</v>
      </c>
    </row>
    <row r="107" spans="1:14" x14ac:dyDescent="0.3">
      <c r="A107" s="12">
        <v>10106</v>
      </c>
      <c r="B107" s="13">
        <v>45769</v>
      </c>
      <c r="C107" s="14" t="s">
        <v>41</v>
      </c>
      <c r="D107" s="14" t="s">
        <v>11</v>
      </c>
      <c r="E107" s="14" t="s">
        <v>52</v>
      </c>
      <c r="F107" s="14" t="s">
        <v>142</v>
      </c>
      <c r="G107" s="14" t="s">
        <v>14</v>
      </c>
      <c r="H107" s="14">
        <v>9</v>
      </c>
      <c r="I107" s="14">
        <v>157.32</v>
      </c>
      <c r="J107" s="14">
        <v>1415.88</v>
      </c>
      <c r="K107" s="14">
        <v>762.76</v>
      </c>
      <c r="L107" s="14">
        <v>653.12</v>
      </c>
      <c r="M107" s="14" t="s">
        <v>28</v>
      </c>
      <c r="N107" s="15" t="s">
        <v>26</v>
      </c>
    </row>
    <row r="108" spans="1:14" x14ac:dyDescent="0.3">
      <c r="A108" s="8">
        <v>10107</v>
      </c>
      <c r="B108" s="9">
        <v>45773</v>
      </c>
      <c r="C108" s="10" t="s">
        <v>23</v>
      </c>
      <c r="D108" s="10" t="s">
        <v>18</v>
      </c>
      <c r="E108" s="10" t="s">
        <v>19</v>
      </c>
      <c r="F108" s="10" t="s">
        <v>143</v>
      </c>
      <c r="G108" s="10" t="s">
        <v>21</v>
      </c>
      <c r="H108" s="10">
        <v>13</v>
      </c>
      <c r="I108" s="10">
        <v>1391.65</v>
      </c>
      <c r="J108" s="10">
        <v>18091.45</v>
      </c>
      <c r="K108" s="10">
        <v>15793.1</v>
      </c>
      <c r="L108" s="10">
        <v>2298.35</v>
      </c>
      <c r="M108" s="10" t="s">
        <v>15</v>
      </c>
      <c r="N108" s="11" t="s">
        <v>16</v>
      </c>
    </row>
    <row r="109" spans="1:14" x14ac:dyDescent="0.3">
      <c r="A109" s="12">
        <v>10108</v>
      </c>
      <c r="B109" s="13">
        <v>45773</v>
      </c>
      <c r="C109" s="14" t="s">
        <v>41</v>
      </c>
      <c r="D109" s="14" t="s">
        <v>32</v>
      </c>
      <c r="E109" s="14" t="s">
        <v>33</v>
      </c>
      <c r="F109" s="14" t="s">
        <v>144</v>
      </c>
      <c r="G109" s="14" t="s">
        <v>31</v>
      </c>
      <c r="H109" s="14">
        <v>10</v>
      </c>
      <c r="I109" s="14">
        <v>367.28</v>
      </c>
      <c r="J109" s="14">
        <v>3672.8</v>
      </c>
      <c r="K109" s="14">
        <v>2050.21</v>
      </c>
      <c r="L109" s="14">
        <v>1622.59</v>
      </c>
      <c r="M109" s="14" t="s">
        <v>15</v>
      </c>
      <c r="N109" s="15" t="s">
        <v>46</v>
      </c>
    </row>
    <row r="110" spans="1:14" x14ac:dyDescent="0.3">
      <c r="A110" s="8">
        <v>10109</v>
      </c>
      <c r="B110" s="9">
        <v>45873</v>
      </c>
      <c r="C110" s="10" t="s">
        <v>41</v>
      </c>
      <c r="D110" s="10" t="s">
        <v>18</v>
      </c>
      <c r="E110" s="10" t="s">
        <v>29</v>
      </c>
      <c r="F110" s="10" t="s">
        <v>145</v>
      </c>
      <c r="G110" s="10" t="s">
        <v>51</v>
      </c>
      <c r="H110" s="10">
        <v>17</v>
      </c>
      <c r="I110" s="10">
        <v>64.819999999999993</v>
      </c>
      <c r="J110" s="10">
        <v>1101.94</v>
      </c>
      <c r="K110" s="10">
        <v>874.58</v>
      </c>
      <c r="L110" s="10">
        <v>227.36</v>
      </c>
      <c r="M110" s="10" t="s">
        <v>22</v>
      </c>
      <c r="N110" s="11" t="s">
        <v>26</v>
      </c>
    </row>
    <row r="111" spans="1:14" x14ac:dyDescent="0.3">
      <c r="A111" s="12">
        <v>10110</v>
      </c>
      <c r="B111" s="13">
        <v>45770</v>
      </c>
      <c r="C111" s="14" t="s">
        <v>10</v>
      </c>
      <c r="D111" s="14" t="s">
        <v>18</v>
      </c>
      <c r="E111" s="14" t="s">
        <v>35</v>
      </c>
      <c r="F111" s="14" t="s">
        <v>146</v>
      </c>
      <c r="G111" s="14" t="s">
        <v>31</v>
      </c>
      <c r="H111" s="14">
        <v>12</v>
      </c>
      <c r="I111" s="14">
        <v>640.55999999999995</v>
      </c>
      <c r="J111" s="14">
        <v>7686.72</v>
      </c>
      <c r="K111" s="14">
        <v>4108.9799999999996</v>
      </c>
      <c r="L111" s="14">
        <v>3577.74</v>
      </c>
      <c r="M111" s="14" t="s">
        <v>15</v>
      </c>
      <c r="N111" s="15" t="s">
        <v>26</v>
      </c>
    </row>
    <row r="112" spans="1:14" x14ac:dyDescent="0.3">
      <c r="A112" s="8">
        <v>10111</v>
      </c>
      <c r="B112" s="9">
        <v>45700</v>
      </c>
      <c r="C112" s="10" t="s">
        <v>23</v>
      </c>
      <c r="D112" s="10" t="s">
        <v>18</v>
      </c>
      <c r="E112" s="10" t="s">
        <v>35</v>
      </c>
      <c r="F112" s="10" t="s">
        <v>147</v>
      </c>
      <c r="G112" s="10" t="s">
        <v>37</v>
      </c>
      <c r="H112" s="10">
        <v>1</v>
      </c>
      <c r="I112" s="10">
        <v>1354.19</v>
      </c>
      <c r="J112" s="10">
        <v>1354.19</v>
      </c>
      <c r="K112" s="10">
        <v>1050.82</v>
      </c>
      <c r="L112" s="10">
        <v>303.37</v>
      </c>
      <c r="M112" s="10" t="s">
        <v>28</v>
      </c>
      <c r="N112" s="11" t="s">
        <v>26</v>
      </c>
    </row>
    <row r="113" spans="1:14" x14ac:dyDescent="0.3">
      <c r="A113" s="12">
        <v>10112</v>
      </c>
      <c r="B113" s="13">
        <v>45839</v>
      </c>
      <c r="C113" s="14" t="s">
        <v>10</v>
      </c>
      <c r="D113" s="14" t="s">
        <v>32</v>
      </c>
      <c r="E113" s="14" t="s">
        <v>33</v>
      </c>
      <c r="F113" s="14" t="s">
        <v>148</v>
      </c>
      <c r="G113" s="14" t="s">
        <v>51</v>
      </c>
      <c r="H113" s="14">
        <v>20</v>
      </c>
      <c r="I113" s="14">
        <v>1466.35</v>
      </c>
      <c r="J113" s="14">
        <v>29327</v>
      </c>
      <c r="K113" s="14">
        <v>17425.95</v>
      </c>
      <c r="L113" s="14">
        <v>11901.05</v>
      </c>
      <c r="M113" s="14" t="s">
        <v>15</v>
      </c>
      <c r="N113" s="15" t="s">
        <v>16</v>
      </c>
    </row>
    <row r="114" spans="1:14" x14ac:dyDescent="0.3">
      <c r="A114" s="8">
        <v>10113</v>
      </c>
      <c r="B114" s="9">
        <v>45848</v>
      </c>
      <c r="C114" s="10" t="s">
        <v>17</v>
      </c>
      <c r="D114" s="10" t="s">
        <v>32</v>
      </c>
      <c r="E114" s="10" t="s">
        <v>69</v>
      </c>
      <c r="F114" s="10" t="s">
        <v>149</v>
      </c>
      <c r="G114" s="10" t="s">
        <v>25</v>
      </c>
      <c r="H114" s="10">
        <v>12</v>
      </c>
      <c r="I114" s="10">
        <v>244.81</v>
      </c>
      <c r="J114" s="10">
        <v>2937.72</v>
      </c>
      <c r="K114" s="10">
        <v>1646.92</v>
      </c>
      <c r="L114" s="10">
        <v>1290.8</v>
      </c>
      <c r="M114" s="10" t="s">
        <v>15</v>
      </c>
      <c r="N114" s="11" t="s">
        <v>26</v>
      </c>
    </row>
    <row r="115" spans="1:14" x14ac:dyDescent="0.3">
      <c r="A115" s="12">
        <v>10114</v>
      </c>
      <c r="B115" s="13">
        <v>45733</v>
      </c>
      <c r="C115" s="14" t="s">
        <v>17</v>
      </c>
      <c r="D115" s="14" t="s">
        <v>11</v>
      </c>
      <c r="E115" s="14" t="s">
        <v>38</v>
      </c>
      <c r="F115" s="14" t="s">
        <v>150</v>
      </c>
      <c r="G115" s="14" t="s">
        <v>21</v>
      </c>
      <c r="H115" s="14">
        <v>12</v>
      </c>
      <c r="I115" s="14">
        <v>1130.04</v>
      </c>
      <c r="J115" s="14">
        <v>13560.48</v>
      </c>
      <c r="K115" s="14">
        <v>7508.18</v>
      </c>
      <c r="L115" s="14">
        <v>6052.3</v>
      </c>
      <c r="M115" s="14" t="s">
        <v>28</v>
      </c>
      <c r="N115" s="15" t="s">
        <v>16</v>
      </c>
    </row>
    <row r="116" spans="1:14" x14ac:dyDescent="0.3">
      <c r="A116" s="8">
        <v>10115</v>
      </c>
      <c r="B116" s="9">
        <v>45897</v>
      </c>
      <c r="C116" s="10" t="s">
        <v>10</v>
      </c>
      <c r="D116" s="10" t="s">
        <v>18</v>
      </c>
      <c r="E116" s="10" t="s">
        <v>35</v>
      </c>
      <c r="F116" s="10" t="s">
        <v>151</v>
      </c>
      <c r="G116" s="10" t="s">
        <v>25</v>
      </c>
      <c r="H116" s="10">
        <v>7</v>
      </c>
      <c r="I116" s="10">
        <v>1105.17</v>
      </c>
      <c r="J116" s="10">
        <v>7736.19</v>
      </c>
      <c r="K116" s="10">
        <v>6496.77</v>
      </c>
      <c r="L116" s="10">
        <v>1239.42</v>
      </c>
      <c r="M116" s="10" t="s">
        <v>15</v>
      </c>
      <c r="N116" s="11" t="s">
        <v>16</v>
      </c>
    </row>
    <row r="117" spans="1:14" x14ac:dyDescent="0.3">
      <c r="A117" s="12">
        <v>10116</v>
      </c>
      <c r="B117" s="13">
        <v>45929</v>
      </c>
      <c r="C117" s="14" t="s">
        <v>10</v>
      </c>
      <c r="D117" s="14" t="s">
        <v>18</v>
      </c>
      <c r="E117" s="14" t="s">
        <v>29</v>
      </c>
      <c r="F117" s="14" t="s">
        <v>152</v>
      </c>
      <c r="G117" s="14" t="s">
        <v>21</v>
      </c>
      <c r="H117" s="14">
        <v>1</v>
      </c>
      <c r="I117" s="14">
        <v>1092.5899999999999</v>
      </c>
      <c r="J117" s="14">
        <v>1092.5899999999999</v>
      </c>
      <c r="K117" s="14">
        <v>968.39</v>
      </c>
      <c r="L117" s="14">
        <v>124.2</v>
      </c>
      <c r="M117" s="14" t="s">
        <v>15</v>
      </c>
      <c r="N117" s="15" t="s">
        <v>16</v>
      </c>
    </row>
    <row r="118" spans="1:14" x14ac:dyDescent="0.3">
      <c r="A118" s="8">
        <v>10117</v>
      </c>
      <c r="B118" s="9">
        <v>45740</v>
      </c>
      <c r="C118" s="10" t="s">
        <v>10</v>
      </c>
      <c r="D118" s="10" t="s">
        <v>11</v>
      </c>
      <c r="E118" s="10" t="s">
        <v>38</v>
      </c>
      <c r="F118" s="10" t="s">
        <v>153</v>
      </c>
      <c r="G118" s="10" t="s">
        <v>14</v>
      </c>
      <c r="H118" s="10">
        <v>11</v>
      </c>
      <c r="I118" s="10">
        <v>1058.5899999999999</v>
      </c>
      <c r="J118" s="10">
        <v>11644.49</v>
      </c>
      <c r="K118" s="10">
        <v>8329.43</v>
      </c>
      <c r="L118" s="10">
        <v>3315.06</v>
      </c>
      <c r="M118" s="10" t="s">
        <v>15</v>
      </c>
      <c r="N118" s="11" t="s">
        <v>16</v>
      </c>
    </row>
    <row r="119" spans="1:14" x14ac:dyDescent="0.3">
      <c r="A119" s="12">
        <v>10118</v>
      </c>
      <c r="B119" s="13">
        <v>45935</v>
      </c>
      <c r="C119" s="14" t="s">
        <v>41</v>
      </c>
      <c r="D119" s="14" t="s">
        <v>18</v>
      </c>
      <c r="E119" s="14" t="s">
        <v>35</v>
      </c>
      <c r="F119" s="14" t="s">
        <v>154</v>
      </c>
      <c r="G119" s="14" t="s">
        <v>51</v>
      </c>
      <c r="H119" s="14">
        <v>4</v>
      </c>
      <c r="I119" s="14">
        <v>334.15</v>
      </c>
      <c r="J119" s="14">
        <v>1336.6</v>
      </c>
      <c r="K119" s="14">
        <v>834.2</v>
      </c>
      <c r="L119" s="14">
        <v>502.4</v>
      </c>
      <c r="M119" s="14" t="s">
        <v>28</v>
      </c>
      <c r="N119" s="15" t="s">
        <v>16</v>
      </c>
    </row>
    <row r="120" spans="1:14" x14ac:dyDescent="0.3">
      <c r="A120" s="8">
        <v>10119</v>
      </c>
      <c r="B120" s="9">
        <v>45746</v>
      </c>
      <c r="C120" s="10" t="s">
        <v>10</v>
      </c>
      <c r="D120" s="10" t="s">
        <v>18</v>
      </c>
      <c r="E120" s="10" t="s">
        <v>29</v>
      </c>
      <c r="F120" s="10" t="s">
        <v>155</v>
      </c>
      <c r="G120" s="10" t="s">
        <v>25</v>
      </c>
      <c r="H120" s="10">
        <v>10</v>
      </c>
      <c r="I120" s="10">
        <v>499.31</v>
      </c>
      <c r="J120" s="10">
        <v>4993.1000000000004</v>
      </c>
      <c r="K120" s="10">
        <v>2714.52</v>
      </c>
      <c r="L120" s="10">
        <v>2278.58</v>
      </c>
      <c r="M120" s="10" t="s">
        <v>15</v>
      </c>
      <c r="N120" s="11" t="s">
        <v>16</v>
      </c>
    </row>
    <row r="121" spans="1:14" x14ac:dyDescent="0.3">
      <c r="A121" s="12">
        <v>10120</v>
      </c>
      <c r="B121" s="13">
        <v>45737</v>
      </c>
      <c r="C121" s="14" t="s">
        <v>17</v>
      </c>
      <c r="D121" s="14" t="s">
        <v>18</v>
      </c>
      <c r="E121" s="14" t="s">
        <v>29</v>
      </c>
      <c r="F121" s="14" t="s">
        <v>156</v>
      </c>
      <c r="G121" s="14" t="s">
        <v>51</v>
      </c>
      <c r="H121" s="14">
        <v>1</v>
      </c>
      <c r="I121" s="14">
        <v>1309.58</v>
      </c>
      <c r="J121" s="14">
        <v>1309.58</v>
      </c>
      <c r="K121" s="14">
        <v>1156.4000000000001</v>
      </c>
      <c r="L121" s="14">
        <v>153.18</v>
      </c>
      <c r="M121" s="14" t="s">
        <v>22</v>
      </c>
      <c r="N121" s="15" t="s">
        <v>26</v>
      </c>
    </row>
    <row r="122" spans="1:14" x14ac:dyDescent="0.3">
      <c r="A122" s="8">
        <v>10121</v>
      </c>
      <c r="B122" s="9">
        <v>45766</v>
      </c>
      <c r="C122" s="10" t="s">
        <v>17</v>
      </c>
      <c r="D122" s="10" t="s">
        <v>11</v>
      </c>
      <c r="E122" s="10" t="s">
        <v>52</v>
      </c>
      <c r="F122" s="10" t="s">
        <v>157</v>
      </c>
      <c r="G122" s="10" t="s">
        <v>37</v>
      </c>
      <c r="H122" s="10">
        <v>6</v>
      </c>
      <c r="I122" s="10">
        <v>1124.08</v>
      </c>
      <c r="J122" s="10">
        <v>6744.48</v>
      </c>
      <c r="K122" s="10">
        <v>4644.3599999999997</v>
      </c>
      <c r="L122" s="10">
        <v>2100.12</v>
      </c>
      <c r="M122" s="10" t="s">
        <v>22</v>
      </c>
      <c r="N122" s="11" t="s">
        <v>16</v>
      </c>
    </row>
    <row r="123" spans="1:14" x14ac:dyDescent="0.3">
      <c r="A123" s="12">
        <v>10122</v>
      </c>
      <c r="B123" s="13">
        <v>45790</v>
      </c>
      <c r="C123" s="14" t="s">
        <v>41</v>
      </c>
      <c r="D123" s="14" t="s">
        <v>32</v>
      </c>
      <c r="E123" s="14" t="s">
        <v>33</v>
      </c>
      <c r="F123" s="14" t="s">
        <v>158</v>
      </c>
      <c r="G123" s="14" t="s">
        <v>31</v>
      </c>
      <c r="H123" s="14">
        <v>1</v>
      </c>
      <c r="I123" s="14">
        <v>418.22</v>
      </c>
      <c r="J123" s="14">
        <v>418.22</v>
      </c>
      <c r="K123" s="14">
        <v>260.19</v>
      </c>
      <c r="L123" s="14">
        <v>158.03</v>
      </c>
      <c r="M123" s="14" t="s">
        <v>22</v>
      </c>
      <c r="N123" s="15" t="s">
        <v>40</v>
      </c>
    </row>
    <row r="124" spans="1:14" x14ac:dyDescent="0.3">
      <c r="A124" s="8">
        <v>10123</v>
      </c>
      <c r="B124" s="9">
        <v>45906</v>
      </c>
      <c r="C124" s="10" t="s">
        <v>17</v>
      </c>
      <c r="D124" s="10" t="s">
        <v>32</v>
      </c>
      <c r="E124" s="10" t="s">
        <v>49</v>
      </c>
      <c r="F124" s="10" t="s">
        <v>159</v>
      </c>
      <c r="G124" s="10" t="s">
        <v>37</v>
      </c>
      <c r="H124" s="10">
        <v>13</v>
      </c>
      <c r="I124" s="10">
        <v>316.25</v>
      </c>
      <c r="J124" s="10">
        <v>4111.25</v>
      </c>
      <c r="K124" s="10">
        <v>3087.12</v>
      </c>
      <c r="L124" s="10">
        <v>1024.1300000000001</v>
      </c>
      <c r="M124" s="10" t="s">
        <v>28</v>
      </c>
      <c r="N124" s="11" t="s">
        <v>26</v>
      </c>
    </row>
    <row r="125" spans="1:14" x14ac:dyDescent="0.3">
      <c r="A125" s="12">
        <v>10124</v>
      </c>
      <c r="B125" s="13">
        <v>45860</v>
      </c>
      <c r="C125" s="14" t="s">
        <v>41</v>
      </c>
      <c r="D125" s="14" t="s">
        <v>11</v>
      </c>
      <c r="E125" s="14" t="s">
        <v>52</v>
      </c>
      <c r="F125" s="14" t="s">
        <v>160</v>
      </c>
      <c r="G125" s="14" t="s">
        <v>14</v>
      </c>
      <c r="H125" s="14">
        <v>16</v>
      </c>
      <c r="I125" s="14">
        <v>567.5</v>
      </c>
      <c r="J125" s="14">
        <v>9080</v>
      </c>
      <c r="K125" s="14">
        <v>7207.6</v>
      </c>
      <c r="L125" s="14">
        <v>1872.4</v>
      </c>
      <c r="M125" s="14" t="s">
        <v>22</v>
      </c>
      <c r="N125" s="15" t="s">
        <v>26</v>
      </c>
    </row>
    <row r="126" spans="1:14" x14ac:dyDescent="0.3">
      <c r="A126" s="8">
        <v>10125</v>
      </c>
      <c r="B126" s="9">
        <v>46009</v>
      </c>
      <c r="C126" s="10" t="s">
        <v>23</v>
      </c>
      <c r="D126" s="10" t="s">
        <v>32</v>
      </c>
      <c r="E126" s="10" t="s">
        <v>49</v>
      </c>
      <c r="F126" s="10" t="s">
        <v>161</v>
      </c>
      <c r="G126" s="10" t="s">
        <v>31</v>
      </c>
      <c r="H126" s="10">
        <v>14</v>
      </c>
      <c r="I126" s="10">
        <v>1272.0899999999999</v>
      </c>
      <c r="J126" s="10">
        <v>17809.259999999998</v>
      </c>
      <c r="K126" s="10">
        <v>10219.42</v>
      </c>
      <c r="L126" s="10">
        <v>7589.84</v>
      </c>
      <c r="M126" s="10" t="s">
        <v>15</v>
      </c>
      <c r="N126" s="11" t="s">
        <v>26</v>
      </c>
    </row>
    <row r="127" spans="1:14" x14ac:dyDescent="0.3">
      <c r="A127" s="12">
        <v>10126</v>
      </c>
      <c r="B127" s="13">
        <v>45802</v>
      </c>
      <c r="C127" s="14" t="s">
        <v>17</v>
      </c>
      <c r="D127" s="14" t="s">
        <v>11</v>
      </c>
      <c r="E127" s="14" t="s">
        <v>52</v>
      </c>
      <c r="F127" s="14" t="s">
        <v>162</v>
      </c>
      <c r="G127" s="14" t="s">
        <v>31</v>
      </c>
      <c r="H127" s="14">
        <v>8</v>
      </c>
      <c r="I127" s="14">
        <v>171.12</v>
      </c>
      <c r="J127" s="14">
        <v>1368.96</v>
      </c>
      <c r="K127" s="14">
        <v>1047.96</v>
      </c>
      <c r="L127" s="14">
        <v>321</v>
      </c>
      <c r="M127" s="14" t="s">
        <v>28</v>
      </c>
      <c r="N127" s="15" t="s">
        <v>16</v>
      </c>
    </row>
    <row r="128" spans="1:14" x14ac:dyDescent="0.3">
      <c r="A128" s="8">
        <v>10127</v>
      </c>
      <c r="B128" s="9">
        <v>45700</v>
      </c>
      <c r="C128" s="10" t="s">
        <v>23</v>
      </c>
      <c r="D128" s="10" t="s">
        <v>32</v>
      </c>
      <c r="E128" s="10" t="s">
        <v>33</v>
      </c>
      <c r="F128" s="10" t="s">
        <v>163</v>
      </c>
      <c r="G128" s="10" t="s">
        <v>51</v>
      </c>
      <c r="H128" s="10">
        <v>2</v>
      </c>
      <c r="I128" s="10">
        <v>1379.81</v>
      </c>
      <c r="J128" s="10">
        <v>2759.62</v>
      </c>
      <c r="K128" s="10">
        <v>2439.5300000000002</v>
      </c>
      <c r="L128" s="10">
        <v>320.08999999999997</v>
      </c>
      <c r="M128" s="10" t="s">
        <v>28</v>
      </c>
      <c r="N128" s="11" t="s">
        <v>16</v>
      </c>
    </row>
    <row r="129" spans="1:14" x14ac:dyDescent="0.3">
      <c r="A129" s="12">
        <v>10128</v>
      </c>
      <c r="B129" s="13">
        <v>45775</v>
      </c>
      <c r="C129" s="14" t="s">
        <v>41</v>
      </c>
      <c r="D129" s="14" t="s">
        <v>32</v>
      </c>
      <c r="E129" s="14" t="s">
        <v>49</v>
      </c>
      <c r="F129" s="14" t="s">
        <v>164</v>
      </c>
      <c r="G129" s="14" t="s">
        <v>31</v>
      </c>
      <c r="H129" s="14">
        <v>2</v>
      </c>
      <c r="I129" s="14">
        <v>926.61</v>
      </c>
      <c r="J129" s="14">
        <v>1853.22</v>
      </c>
      <c r="K129" s="14">
        <v>1642.57</v>
      </c>
      <c r="L129" s="14">
        <v>210.65</v>
      </c>
      <c r="M129" s="14" t="s">
        <v>15</v>
      </c>
      <c r="N129" s="15" t="s">
        <v>46</v>
      </c>
    </row>
    <row r="130" spans="1:14" x14ac:dyDescent="0.3">
      <c r="A130" s="8">
        <v>10129</v>
      </c>
      <c r="B130" s="9">
        <v>45883</v>
      </c>
      <c r="C130" s="10" t="s">
        <v>10</v>
      </c>
      <c r="D130" s="10" t="s">
        <v>32</v>
      </c>
      <c r="E130" s="10" t="s">
        <v>69</v>
      </c>
      <c r="F130" s="10" t="s">
        <v>165</v>
      </c>
      <c r="G130" s="10" t="s">
        <v>51</v>
      </c>
      <c r="H130" s="10">
        <v>13</v>
      </c>
      <c r="I130" s="10">
        <v>557.91999999999996</v>
      </c>
      <c r="J130" s="10">
        <v>7252.96</v>
      </c>
      <c r="K130" s="10">
        <v>4779.49</v>
      </c>
      <c r="L130" s="10">
        <v>2473.4699999999998</v>
      </c>
      <c r="M130" s="10" t="s">
        <v>28</v>
      </c>
      <c r="N130" s="11" t="s">
        <v>40</v>
      </c>
    </row>
    <row r="131" spans="1:14" x14ac:dyDescent="0.3">
      <c r="A131" s="12">
        <v>10130</v>
      </c>
      <c r="B131" s="13">
        <v>45952</v>
      </c>
      <c r="C131" s="14" t="s">
        <v>41</v>
      </c>
      <c r="D131" s="14" t="s">
        <v>18</v>
      </c>
      <c r="E131" s="14" t="s">
        <v>35</v>
      </c>
      <c r="F131" s="14" t="s">
        <v>166</v>
      </c>
      <c r="G131" s="14" t="s">
        <v>25</v>
      </c>
      <c r="H131" s="14">
        <v>20</v>
      </c>
      <c r="I131" s="14">
        <v>408.66</v>
      </c>
      <c r="J131" s="14">
        <v>8173.2</v>
      </c>
      <c r="K131" s="14">
        <v>4106.1899999999996</v>
      </c>
      <c r="L131" s="14">
        <v>4067.01</v>
      </c>
      <c r="M131" s="14" t="s">
        <v>28</v>
      </c>
      <c r="N131" s="15" t="s">
        <v>16</v>
      </c>
    </row>
    <row r="132" spans="1:14" x14ac:dyDescent="0.3">
      <c r="A132" s="8">
        <v>10131</v>
      </c>
      <c r="B132" s="9">
        <v>45838</v>
      </c>
      <c r="C132" s="10" t="s">
        <v>23</v>
      </c>
      <c r="D132" s="10" t="s">
        <v>32</v>
      </c>
      <c r="E132" s="10" t="s">
        <v>49</v>
      </c>
      <c r="F132" s="10" t="s">
        <v>167</v>
      </c>
      <c r="G132" s="10" t="s">
        <v>31</v>
      </c>
      <c r="H132" s="10">
        <v>14</v>
      </c>
      <c r="I132" s="10">
        <v>776.76</v>
      </c>
      <c r="J132" s="10">
        <v>10874.64</v>
      </c>
      <c r="K132" s="10">
        <v>8843.2000000000007</v>
      </c>
      <c r="L132" s="10">
        <v>2031.44</v>
      </c>
      <c r="M132" s="10" t="s">
        <v>28</v>
      </c>
      <c r="N132" s="11" t="s">
        <v>16</v>
      </c>
    </row>
    <row r="133" spans="1:14" x14ac:dyDescent="0.3">
      <c r="A133" s="12">
        <v>10132</v>
      </c>
      <c r="B133" s="13">
        <v>45740</v>
      </c>
      <c r="C133" s="14" t="s">
        <v>10</v>
      </c>
      <c r="D133" s="14" t="s">
        <v>32</v>
      </c>
      <c r="E133" s="14" t="s">
        <v>69</v>
      </c>
      <c r="F133" s="14" t="s">
        <v>168</v>
      </c>
      <c r="G133" s="14" t="s">
        <v>25</v>
      </c>
      <c r="H133" s="14">
        <v>10</v>
      </c>
      <c r="I133" s="14">
        <v>1334.76</v>
      </c>
      <c r="J133" s="14">
        <v>13347.6</v>
      </c>
      <c r="K133" s="14">
        <v>7868.75</v>
      </c>
      <c r="L133" s="14">
        <v>5478.85</v>
      </c>
      <c r="M133" s="14" t="s">
        <v>22</v>
      </c>
      <c r="N133" s="15" t="s">
        <v>26</v>
      </c>
    </row>
    <row r="134" spans="1:14" x14ac:dyDescent="0.3">
      <c r="A134" s="8">
        <v>10133</v>
      </c>
      <c r="B134" s="9">
        <v>45910</v>
      </c>
      <c r="C134" s="10" t="s">
        <v>41</v>
      </c>
      <c r="D134" s="10" t="s">
        <v>18</v>
      </c>
      <c r="E134" s="10" t="s">
        <v>19</v>
      </c>
      <c r="F134" s="10" t="s">
        <v>169</v>
      </c>
      <c r="G134" s="10" t="s">
        <v>21</v>
      </c>
      <c r="H134" s="10">
        <v>12</v>
      </c>
      <c r="I134" s="10">
        <v>1477.4</v>
      </c>
      <c r="J134" s="10">
        <v>17728.8</v>
      </c>
      <c r="K134" s="10">
        <v>9714.4</v>
      </c>
      <c r="L134" s="10">
        <v>8014.4</v>
      </c>
      <c r="M134" s="10" t="s">
        <v>28</v>
      </c>
      <c r="N134" s="11" t="s">
        <v>16</v>
      </c>
    </row>
    <row r="135" spans="1:14" x14ac:dyDescent="0.3">
      <c r="A135" s="12">
        <v>10134</v>
      </c>
      <c r="B135" s="13">
        <v>45878</v>
      </c>
      <c r="C135" s="14" t="s">
        <v>17</v>
      </c>
      <c r="D135" s="14" t="s">
        <v>32</v>
      </c>
      <c r="E135" s="14" t="s">
        <v>49</v>
      </c>
      <c r="F135" s="14" t="s">
        <v>170</v>
      </c>
      <c r="G135" s="14" t="s">
        <v>25</v>
      </c>
      <c r="H135" s="14">
        <v>2</v>
      </c>
      <c r="I135" s="14">
        <v>212.83</v>
      </c>
      <c r="J135" s="14">
        <v>425.66</v>
      </c>
      <c r="K135" s="14">
        <v>240.18</v>
      </c>
      <c r="L135" s="14">
        <v>185.48</v>
      </c>
      <c r="M135" s="14" t="s">
        <v>15</v>
      </c>
      <c r="N135" s="15" t="s">
        <v>26</v>
      </c>
    </row>
    <row r="136" spans="1:14" x14ac:dyDescent="0.3">
      <c r="A136" s="8">
        <v>10135</v>
      </c>
      <c r="B136" s="9">
        <v>45666</v>
      </c>
      <c r="C136" s="10" t="s">
        <v>17</v>
      </c>
      <c r="D136" s="10" t="s">
        <v>11</v>
      </c>
      <c r="E136" s="10" t="s">
        <v>38</v>
      </c>
      <c r="F136" s="10" t="s">
        <v>171</v>
      </c>
      <c r="G136" s="10" t="s">
        <v>14</v>
      </c>
      <c r="H136" s="10">
        <v>5</v>
      </c>
      <c r="I136" s="10">
        <v>1174.95</v>
      </c>
      <c r="J136" s="10">
        <v>5874.75</v>
      </c>
      <c r="K136" s="10">
        <v>4037.31</v>
      </c>
      <c r="L136" s="10">
        <v>1837.44</v>
      </c>
      <c r="M136" s="10" t="s">
        <v>22</v>
      </c>
      <c r="N136" s="11" t="s">
        <v>26</v>
      </c>
    </row>
    <row r="137" spans="1:14" x14ac:dyDescent="0.3">
      <c r="A137" s="12">
        <v>10136</v>
      </c>
      <c r="B137" s="13">
        <v>45947</v>
      </c>
      <c r="C137" s="14" t="s">
        <v>17</v>
      </c>
      <c r="D137" s="14" t="s">
        <v>32</v>
      </c>
      <c r="E137" s="14" t="s">
        <v>69</v>
      </c>
      <c r="F137" s="14" t="s">
        <v>172</v>
      </c>
      <c r="G137" s="14" t="s">
        <v>21</v>
      </c>
      <c r="H137" s="14">
        <v>15</v>
      </c>
      <c r="I137" s="14">
        <v>412.69</v>
      </c>
      <c r="J137" s="14">
        <v>6190.35</v>
      </c>
      <c r="K137" s="14">
        <v>3879</v>
      </c>
      <c r="L137" s="14">
        <v>2311.35</v>
      </c>
      <c r="M137" s="14" t="s">
        <v>28</v>
      </c>
      <c r="N137" s="15" t="s">
        <v>46</v>
      </c>
    </row>
    <row r="138" spans="1:14" x14ac:dyDescent="0.3">
      <c r="A138" s="8">
        <v>10137</v>
      </c>
      <c r="B138" s="9">
        <v>45949</v>
      </c>
      <c r="C138" s="10" t="s">
        <v>23</v>
      </c>
      <c r="D138" s="10" t="s">
        <v>18</v>
      </c>
      <c r="E138" s="10" t="s">
        <v>29</v>
      </c>
      <c r="F138" s="10" t="s">
        <v>173</v>
      </c>
      <c r="G138" s="10" t="s">
        <v>31</v>
      </c>
      <c r="H138" s="10">
        <v>2</v>
      </c>
      <c r="I138" s="10">
        <v>1054.67</v>
      </c>
      <c r="J138" s="10">
        <v>2109.34</v>
      </c>
      <c r="K138" s="10">
        <v>1833.77</v>
      </c>
      <c r="L138" s="10">
        <v>275.57</v>
      </c>
      <c r="M138" s="10" t="s">
        <v>22</v>
      </c>
      <c r="N138" s="11" t="s">
        <v>16</v>
      </c>
    </row>
    <row r="139" spans="1:14" x14ac:dyDescent="0.3">
      <c r="A139" s="12">
        <v>10138</v>
      </c>
      <c r="B139" s="13">
        <v>45761</v>
      </c>
      <c r="C139" s="14" t="s">
        <v>23</v>
      </c>
      <c r="D139" s="14" t="s">
        <v>18</v>
      </c>
      <c r="E139" s="14" t="s">
        <v>35</v>
      </c>
      <c r="F139" s="14" t="s">
        <v>174</v>
      </c>
      <c r="G139" s="14" t="s">
        <v>51</v>
      </c>
      <c r="H139" s="14">
        <v>9</v>
      </c>
      <c r="I139" s="14">
        <v>990.95</v>
      </c>
      <c r="J139" s="14">
        <v>8918.5499999999993</v>
      </c>
      <c r="K139" s="14">
        <v>7886.95</v>
      </c>
      <c r="L139" s="14">
        <v>1031.5999999999999</v>
      </c>
      <c r="M139" s="14" t="s">
        <v>28</v>
      </c>
      <c r="N139" s="15" t="s">
        <v>40</v>
      </c>
    </row>
    <row r="140" spans="1:14" x14ac:dyDescent="0.3">
      <c r="A140" s="8">
        <v>10139</v>
      </c>
      <c r="B140" s="9">
        <v>45780</v>
      </c>
      <c r="C140" s="10" t="s">
        <v>17</v>
      </c>
      <c r="D140" s="10" t="s">
        <v>18</v>
      </c>
      <c r="E140" s="10" t="s">
        <v>29</v>
      </c>
      <c r="F140" s="10" t="s">
        <v>175</v>
      </c>
      <c r="G140" s="10" t="s">
        <v>51</v>
      </c>
      <c r="H140" s="10">
        <v>4</v>
      </c>
      <c r="I140" s="10">
        <v>1180.8800000000001</v>
      </c>
      <c r="J140" s="10">
        <v>4723.5200000000004</v>
      </c>
      <c r="K140" s="10">
        <v>3937.09</v>
      </c>
      <c r="L140" s="10">
        <v>786.43</v>
      </c>
      <c r="M140" s="10" t="s">
        <v>28</v>
      </c>
      <c r="N140" s="11" t="s">
        <v>40</v>
      </c>
    </row>
    <row r="141" spans="1:14" x14ac:dyDescent="0.3">
      <c r="A141" s="12">
        <v>10140</v>
      </c>
      <c r="B141" s="13">
        <v>45927</v>
      </c>
      <c r="C141" s="14" t="s">
        <v>41</v>
      </c>
      <c r="D141" s="14" t="s">
        <v>32</v>
      </c>
      <c r="E141" s="14" t="s">
        <v>33</v>
      </c>
      <c r="F141" s="14" t="s">
        <v>176</v>
      </c>
      <c r="G141" s="14" t="s">
        <v>21</v>
      </c>
      <c r="H141" s="14">
        <v>2</v>
      </c>
      <c r="I141" s="14">
        <v>664.07</v>
      </c>
      <c r="J141" s="14">
        <v>1328.14</v>
      </c>
      <c r="K141" s="14">
        <v>849.69</v>
      </c>
      <c r="L141" s="14">
        <v>478.45</v>
      </c>
      <c r="M141" s="14" t="s">
        <v>22</v>
      </c>
      <c r="N141" s="15" t="s">
        <v>46</v>
      </c>
    </row>
    <row r="142" spans="1:14" x14ac:dyDescent="0.3">
      <c r="A142" s="8">
        <v>10141</v>
      </c>
      <c r="B142" s="9">
        <v>46020</v>
      </c>
      <c r="C142" s="10" t="s">
        <v>10</v>
      </c>
      <c r="D142" s="10" t="s">
        <v>18</v>
      </c>
      <c r="E142" s="10" t="s">
        <v>19</v>
      </c>
      <c r="F142" s="10" t="s">
        <v>177</v>
      </c>
      <c r="G142" s="10" t="s">
        <v>14</v>
      </c>
      <c r="H142" s="10">
        <v>16</v>
      </c>
      <c r="I142" s="10">
        <v>434.7</v>
      </c>
      <c r="J142" s="10">
        <v>6955.2</v>
      </c>
      <c r="K142" s="10">
        <v>4741.8599999999997</v>
      </c>
      <c r="L142" s="10">
        <v>2213.34</v>
      </c>
      <c r="M142" s="10" t="s">
        <v>15</v>
      </c>
      <c r="N142" s="11" t="s">
        <v>16</v>
      </c>
    </row>
    <row r="143" spans="1:14" x14ac:dyDescent="0.3">
      <c r="A143" s="12">
        <v>10142</v>
      </c>
      <c r="B143" s="13">
        <v>45822</v>
      </c>
      <c r="C143" s="14" t="s">
        <v>17</v>
      </c>
      <c r="D143" s="14" t="s">
        <v>18</v>
      </c>
      <c r="E143" s="14" t="s">
        <v>29</v>
      </c>
      <c r="F143" s="14" t="s">
        <v>178</v>
      </c>
      <c r="G143" s="14" t="s">
        <v>25</v>
      </c>
      <c r="H143" s="14">
        <v>4</v>
      </c>
      <c r="I143" s="14">
        <v>772.78</v>
      </c>
      <c r="J143" s="14">
        <v>3091.12</v>
      </c>
      <c r="K143" s="14">
        <v>2570.9299999999998</v>
      </c>
      <c r="L143" s="14">
        <v>520.19000000000005</v>
      </c>
      <c r="M143" s="14" t="s">
        <v>22</v>
      </c>
      <c r="N143" s="15" t="s">
        <v>26</v>
      </c>
    </row>
    <row r="144" spans="1:14" x14ac:dyDescent="0.3">
      <c r="A144" s="8">
        <v>10143</v>
      </c>
      <c r="B144" s="9">
        <v>45718</v>
      </c>
      <c r="C144" s="10" t="s">
        <v>23</v>
      </c>
      <c r="D144" s="10" t="s">
        <v>32</v>
      </c>
      <c r="E144" s="10" t="s">
        <v>69</v>
      </c>
      <c r="F144" s="10" t="s">
        <v>179</v>
      </c>
      <c r="G144" s="10" t="s">
        <v>37</v>
      </c>
      <c r="H144" s="10">
        <v>19</v>
      </c>
      <c r="I144" s="10">
        <v>1205.3699999999999</v>
      </c>
      <c r="J144" s="10">
        <v>22902.03</v>
      </c>
      <c r="K144" s="10">
        <v>14053.38</v>
      </c>
      <c r="L144" s="10">
        <v>8848.65</v>
      </c>
      <c r="M144" s="10" t="s">
        <v>15</v>
      </c>
      <c r="N144" s="11" t="s">
        <v>16</v>
      </c>
    </row>
    <row r="145" spans="1:14" x14ac:dyDescent="0.3">
      <c r="A145" s="12">
        <v>10144</v>
      </c>
      <c r="B145" s="13">
        <v>45941</v>
      </c>
      <c r="C145" s="14" t="s">
        <v>17</v>
      </c>
      <c r="D145" s="14" t="s">
        <v>11</v>
      </c>
      <c r="E145" s="14" t="s">
        <v>52</v>
      </c>
      <c r="F145" s="14" t="s">
        <v>180</v>
      </c>
      <c r="G145" s="14" t="s">
        <v>14</v>
      </c>
      <c r="H145" s="14">
        <v>19</v>
      </c>
      <c r="I145" s="14">
        <v>756.7</v>
      </c>
      <c r="J145" s="14">
        <v>14377.3</v>
      </c>
      <c r="K145" s="14">
        <v>7933.96</v>
      </c>
      <c r="L145" s="14">
        <v>6443.34</v>
      </c>
      <c r="M145" s="14" t="s">
        <v>28</v>
      </c>
      <c r="N145" s="15" t="s">
        <v>26</v>
      </c>
    </row>
    <row r="146" spans="1:14" x14ac:dyDescent="0.3">
      <c r="A146" s="8">
        <v>10145</v>
      </c>
      <c r="B146" s="9">
        <v>45824</v>
      </c>
      <c r="C146" s="10" t="s">
        <v>17</v>
      </c>
      <c r="D146" s="10" t="s">
        <v>32</v>
      </c>
      <c r="E146" s="10" t="s">
        <v>33</v>
      </c>
      <c r="F146" s="10" t="s">
        <v>181</v>
      </c>
      <c r="G146" s="10" t="s">
        <v>21</v>
      </c>
      <c r="H146" s="10">
        <v>8</v>
      </c>
      <c r="I146" s="10">
        <v>702.73</v>
      </c>
      <c r="J146" s="10">
        <v>5621.84</v>
      </c>
      <c r="K146" s="10">
        <v>2904.7</v>
      </c>
      <c r="L146" s="10">
        <v>2717.14</v>
      </c>
      <c r="M146" s="10" t="s">
        <v>28</v>
      </c>
      <c r="N146" s="11" t="s">
        <v>40</v>
      </c>
    </row>
    <row r="147" spans="1:14" x14ac:dyDescent="0.3">
      <c r="A147" s="12">
        <v>10146</v>
      </c>
      <c r="B147" s="13">
        <v>45873</v>
      </c>
      <c r="C147" s="14" t="s">
        <v>23</v>
      </c>
      <c r="D147" s="14" t="s">
        <v>18</v>
      </c>
      <c r="E147" s="14" t="s">
        <v>35</v>
      </c>
      <c r="F147" s="14" t="s">
        <v>182</v>
      </c>
      <c r="G147" s="14" t="s">
        <v>25</v>
      </c>
      <c r="H147" s="14">
        <v>16</v>
      </c>
      <c r="I147" s="14">
        <v>492.52</v>
      </c>
      <c r="J147" s="14">
        <v>7880.32</v>
      </c>
      <c r="K147" s="14">
        <v>5494.24</v>
      </c>
      <c r="L147" s="14">
        <v>2386.08</v>
      </c>
      <c r="M147" s="14" t="s">
        <v>28</v>
      </c>
      <c r="N147" s="15" t="s">
        <v>26</v>
      </c>
    </row>
    <row r="148" spans="1:14" x14ac:dyDescent="0.3">
      <c r="A148" s="8">
        <v>10147</v>
      </c>
      <c r="B148" s="9">
        <v>45769</v>
      </c>
      <c r="C148" s="10" t="s">
        <v>10</v>
      </c>
      <c r="D148" s="10" t="s">
        <v>11</v>
      </c>
      <c r="E148" s="10" t="s">
        <v>12</v>
      </c>
      <c r="F148" s="10" t="s">
        <v>183</v>
      </c>
      <c r="G148" s="10" t="s">
        <v>21</v>
      </c>
      <c r="H148" s="10">
        <v>11</v>
      </c>
      <c r="I148" s="10">
        <v>97.44</v>
      </c>
      <c r="J148" s="10">
        <v>1071.8399999999999</v>
      </c>
      <c r="K148" s="10">
        <v>923.3</v>
      </c>
      <c r="L148" s="10">
        <v>148.54</v>
      </c>
      <c r="M148" s="10" t="s">
        <v>15</v>
      </c>
      <c r="N148" s="11" t="s">
        <v>26</v>
      </c>
    </row>
    <row r="149" spans="1:14" x14ac:dyDescent="0.3">
      <c r="A149" s="12">
        <v>10148</v>
      </c>
      <c r="B149" s="13">
        <v>45781</v>
      </c>
      <c r="C149" s="14" t="s">
        <v>23</v>
      </c>
      <c r="D149" s="14" t="s">
        <v>11</v>
      </c>
      <c r="E149" s="14" t="s">
        <v>12</v>
      </c>
      <c r="F149" s="14" t="s">
        <v>184</v>
      </c>
      <c r="G149" s="14" t="s">
        <v>21</v>
      </c>
      <c r="H149" s="14">
        <v>20</v>
      </c>
      <c r="I149" s="14">
        <v>71.02</v>
      </c>
      <c r="J149" s="14">
        <v>1420.4</v>
      </c>
      <c r="K149" s="14">
        <v>838.47</v>
      </c>
      <c r="L149" s="14">
        <v>581.92999999999995</v>
      </c>
      <c r="M149" s="14" t="s">
        <v>22</v>
      </c>
      <c r="N149" s="15" t="s">
        <v>16</v>
      </c>
    </row>
    <row r="150" spans="1:14" x14ac:dyDescent="0.3">
      <c r="A150" s="8">
        <v>10149</v>
      </c>
      <c r="B150" s="9">
        <v>45737</v>
      </c>
      <c r="C150" s="10" t="s">
        <v>10</v>
      </c>
      <c r="D150" s="10" t="s">
        <v>18</v>
      </c>
      <c r="E150" s="10" t="s">
        <v>29</v>
      </c>
      <c r="F150" s="10" t="s">
        <v>185</v>
      </c>
      <c r="G150" s="10" t="s">
        <v>21</v>
      </c>
      <c r="H150" s="10">
        <v>1</v>
      </c>
      <c r="I150" s="10">
        <v>854.26</v>
      </c>
      <c r="J150" s="10">
        <v>854.26</v>
      </c>
      <c r="K150" s="10">
        <v>748.91</v>
      </c>
      <c r="L150" s="10">
        <v>105.35</v>
      </c>
      <c r="M150" s="10" t="s">
        <v>22</v>
      </c>
      <c r="N150" s="11" t="s">
        <v>40</v>
      </c>
    </row>
    <row r="151" spans="1:14" x14ac:dyDescent="0.3">
      <c r="A151" s="12">
        <v>10150</v>
      </c>
      <c r="B151" s="13">
        <v>45823</v>
      </c>
      <c r="C151" s="14" t="s">
        <v>41</v>
      </c>
      <c r="D151" s="14" t="s">
        <v>32</v>
      </c>
      <c r="E151" s="14" t="s">
        <v>33</v>
      </c>
      <c r="F151" s="14" t="s">
        <v>186</v>
      </c>
      <c r="G151" s="14" t="s">
        <v>21</v>
      </c>
      <c r="H151" s="14">
        <v>11</v>
      </c>
      <c r="I151" s="14">
        <v>957.56</v>
      </c>
      <c r="J151" s="14">
        <v>10533.16</v>
      </c>
      <c r="K151" s="14">
        <v>7792.03</v>
      </c>
      <c r="L151" s="14">
        <v>2741.13</v>
      </c>
      <c r="M151" s="14" t="s">
        <v>22</v>
      </c>
      <c r="N151" s="15" t="s">
        <v>26</v>
      </c>
    </row>
    <row r="152" spans="1:14" x14ac:dyDescent="0.3">
      <c r="A152" s="8">
        <v>10151</v>
      </c>
      <c r="B152" s="9">
        <v>45821</v>
      </c>
      <c r="C152" s="10" t="s">
        <v>41</v>
      </c>
      <c r="D152" s="10" t="s">
        <v>11</v>
      </c>
      <c r="E152" s="10" t="s">
        <v>52</v>
      </c>
      <c r="F152" s="10" t="s">
        <v>187</v>
      </c>
      <c r="G152" s="10" t="s">
        <v>31</v>
      </c>
      <c r="H152" s="10">
        <v>18</v>
      </c>
      <c r="I152" s="10">
        <v>102.25</v>
      </c>
      <c r="J152" s="10">
        <v>1840.5</v>
      </c>
      <c r="K152" s="10">
        <v>1178.8499999999999</v>
      </c>
      <c r="L152" s="10">
        <v>661.65</v>
      </c>
      <c r="M152" s="10" t="s">
        <v>22</v>
      </c>
      <c r="N152" s="11" t="s">
        <v>16</v>
      </c>
    </row>
    <row r="153" spans="1:14" x14ac:dyDescent="0.3">
      <c r="A153" s="12">
        <v>10152</v>
      </c>
      <c r="B153" s="13">
        <v>45796</v>
      </c>
      <c r="C153" s="14" t="s">
        <v>23</v>
      </c>
      <c r="D153" s="14" t="s">
        <v>32</v>
      </c>
      <c r="E153" s="14" t="s">
        <v>33</v>
      </c>
      <c r="F153" s="14" t="s">
        <v>188</v>
      </c>
      <c r="G153" s="14" t="s">
        <v>51</v>
      </c>
      <c r="H153" s="14">
        <v>10</v>
      </c>
      <c r="I153" s="14">
        <v>801.9</v>
      </c>
      <c r="J153" s="14">
        <v>8019</v>
      </c>
      <c r="K153" s="14">
        <v>5840.9</v>
      </c>
      <c r="L153" s="14">
        <v>2178.1</v>
      </c>
      <c r="M153" s="14" t="s">
        <v>28</v>
      </c>
      <c r="N153" s="15" t="s">
        <v>26</v>
      </c>
    </row>
    <row r="154" spans="1:14" x14ac:dyDescent="0.3">
      <c r="A154" s="8">
        <v>10153</v>
      </c>
      <c r="B154" s="9">
        <v>45898</v>
      </c>
      <c r="C154" s="10" t="s">
        <v>23</v>
      </c>
      <c r="D154" s="10" t="s">
        <v>32</v>
      </c>
      <c r="E154" s="10" t="s">
        <v>49</v>
      </c>
      <c r="F154" s="10" t="s">
        <v>189</v>
      </c>
      <c r="G154" s="10" t="s">
        <v>25</v>
      </c>
      <c r="H154" s="10">
        <v>5</v>
      </c>
      <c r="I154" s="10">
        <v>903.28</v>
      </c>
      <c r="J154" s="10">
        <v>4516.3999999999996</v>
      </c>
      <c r="K154" s="10">
        <v>3120.84</v>
      </c>
      <c r="L154" s="10">
        <v>1395.56</v>
      </c>
      <c r="M154" s="10" t="s">
        <v>15</v>
      </c>
      <c r="N154" s="11" t="s">
        <v>40</v>
      </c>
    </row>
    <row r="155" spans="1:14" x14ac:dyDescent="0.3">
      <c r="A155" s="12">
        <v>10154</v>
      </c>
      <c r="B155" s="13">
        <v>45696</v>
      </c>
      <c r="C155" s="14" t="s">
        <v>23</v>
      </c>
      <c r="D155" s="14" t="s">
        <v>32</v>
      </c>
      <c r="E155" s="14" t="s">
        <v>69</v>
      </c>
      <c r="F155" s="14" t="s">
        <v>190</v>
      </c>
      <c r="G155" s="14" t="s">
        <v>14</v>
      </c>
      <c r="H155" s="14">
        <v>5</v>
      </c>
      <c r="I155" s="14">
        <v>957.3</v>
      </c>
      <c r="J155" s="14">
        <v>4786.5</v>
      </c>
      <c r="K155" s="14">
        <v>2567.27</v>
      </c>
      <c r="L155" s="14">
        <v>2219.23</v>
      </c>
      <c r="M155" s="14" t="s">
        <v>15</v>
      </c>
      <c r="N155" s="15" t="s">
        <v>40</v>
      </c>
    </row>
    <row r="156" spans="1:14" x14ac:dyDescent="0.3">
      <c r="A156" s="8">
        <v>10155</v>
      </c>
      <c r="B156" s="9">
        <v>45891</v>
      </c>
      <c r="C156" s="10" t="s">
        <v>41</v>
      </c>
      <c r="D156" s="10" t="s">
        <v>11</v>
      </c>
      <c r="E156" s="10" t="s">
        <v>52</v>
      </c>
      <c r="F156" s="10" t="s">
        <v>191</v>
      </c>
      <c r="G156" s="10" t="s">
        <v>25</v>
      </c>
      <c r="H156" s="10">
        <v>7</v>
      </c>
      <c r="I156" s="10">
        <v>263.95</v>
      </c>
      <c r="J156" s="10">
        <v>1847.65</v>
      </c>
      <c r="K156" s="10">
        <v>1426.94</v>
      </c>
      <c r="L156" s="10">
        <v>420.71</v>
      </c>
      <c r="M156" s="10" t="s">
        <v>28</v>
      </c>
      <c r="N156" s="11" t="s">
        <v>26</v>
      </c>
    </row>
    <row r="157" spans="1:14" x14ac:dyDescent="0.3">
      <c r="A157" s="12">
        <v>10156</v>
      </c>
      <c r="B157" s="13">
        <v>45954</v>
      </c>
      <c r="C157" s="14" t="s">
        <v>17</v>
      </c>
      <c r="D157" s="14" t="s">
        <v>32</v>
      </c>
      <c r="E157" s="14" t="s">
        <v>69</v>
      </c>
      <c r="F157" s="14" t="s">
        <v>192</v>
      </c>
      <c r="G157" s="14" t="s">
        <v>21</v>
      </c>
      <c r="H157" s="14">
        <v>14</v>
      </c>
      <c r="I157" s="14">
        <v>126.45</v>
      </c>
      <c r="J157" s="14">
        <v>1770.3</v>
      </c>
      <c r="K157" s="14">
        <v>1261.01</v>
      </c>
      <c r="L157" s="14">
        <v>509.29</v>
      </c>
      <c r="M157" s="14" t="s">
        <v>15</v>
      </c>
      <c r="N157" s="15" t="s">
        <v>40</v>
      </c>
    </row>
    <row r="158" spans="1:14" x14ac:dyDescent="0.3">
      <c r="A158" s="8">
        <v>10157</v>
      </c>
      <c r="B158" s="9">
        <v>45754</v>
      </c>
      <c r="C158" s="10" t="s">
        <v>41</v>
      </c>
      <c r="D158" s="10" t="s">
        <v>32</v>
      </c>
      <c r="E158" s="10" t="s">
        <v>33</v>
      </c>
      <c r="F158" s="10" t="s">
        <v>193</v>
      </c>
      <c r="G158" s="10" t="s">
        <v>14</v>
      </c>
      <c r="H158" s="10">
        <v>13</v>
      </c>
      <c r="I158" s="10">
        <v>616.58000000000004</v>
      </c>
      <c r="J158" s="10">
        <v>8015.54</v>
      </c>
      <c r="K158" s="10">
        <v>7068.55</v>
      </c>
      <c r="L158" s="10">
        <v>946.99</v>
      </c>
      <c r="M158" s="10" t="s">
        <v>22</v>
      </c>
      <c r="N158" s="11" t="s">
        <v>40</v>
      </c>
    </row>
    <row r="159" spans="1:14" x14ac:dyDescent="0.3">
      <c r="A159" s="12">
        <v>10158</v>
      </c>
      <c r="B159" s="13">
        <v>45700</v>
      </c>
      <c r="C159" s="14" t="s">
        <v>23</v>
      </c>
      <c r="D159" s="14" t="s">
        <v>32</v>
      </c>
      <c r="E159" s="14" t="s">
        <v>33</v>
      </c>
      <c r="F159" s="14" t="s">
        <v>194</v>
      </c>
      <c r="G159" s="14" t="s">
        <v>21</v>
      </c>
      <c r="H159" s="14">
        <v>1</v>
      </c>
      <c r="I159" s="14">
        <v>663.2</v>
      </c>
      <c r="J159" s="14">
        <v>663.2</v>
      </c>
      <c r="K159" s="14">
        <v>565.71</v>
      </c>
      <c r="L159" s="14">
        <v>97.49</v>
      </c>
      <c r="M159" s="14" t="s">
        <v>22</v>
      </c>
      <c r="N159" s="15" t="s">
        <v>40</v>
      </c>
    </row>
    <row r="160" spans="1:14" x14ac:dyDescent="0.3">
      <c r="A160" s="8">
        <v>10159</v>
      </c>
      <c r="B160" s="9">
        <v>45739</v>
      </c>
      <c r="C160" s="10" t="s">
        <v>23</v>
      </c>
      <c r="D160" s="10" t="s">
        <v>18</v>
      </c>
      <c r="E160" s="10" t="s">
        <v>19</v>
      </c>
      <c r="F160" s="10" t="s">
        <v>65</v>
      </c>
      <c r="G160" s="10" t="s">
        <v>25</v>
      </c>
      <c r="H160" s="10">
        <v>8</v>
      </c>
      <c r="I160" s="10">
        <v>694.99</v>
      </c>
      <c r="J160" s="10">
        <v>5559.92</v>
      </c>
      <c r="K160" s="10">
        <v>3771.99</v>
      </c>
      <c r="L160" s="10">
        <v>1787.93</v>
      </c>
      <c r="M160" s="10" t="s">
        <v>15</v>
      </c>
      <c r="N160" s="11" t="s">
        <v>26</v>
      </c>
    </row>
    <row r="161" spans="1:14" x14ac:dyDescent="0.3">
      <c r="A161" s="12">
        <v>10160</v>
      </c>
      <c r="B161" s="13">
        <v>45730</v>
      </c>
      <c r="C161" s="14" t="s">
        <v>41</v>
      </c>
      <c r="D161" s="14" t="s">
        <v>11</v>
      </c>
      <c r="E161" s="14" t="s">
        <v>38</v>
      </c>
      <c r="F161" s="14" t="s">
        <v>195</v>
      </c>
      <c r="G161" s="14" t="s">
        <v>37</v>
      </c>
      <c r="H161" s="14">
        <v>19</v>
      </c>
      <c r="I161" s="14">
        <v>926.83</v>
      </c>
      <c r="J161" s="14">
        <v>17609.77</v>
      </c>
      <c r="K161" s="14">
        <v>15288.72</v>
      </c>
      <c r="L161" s="14">
        <v>2321.0500000000002</v>
      </c>
      <c r="M161" s="14" t="s">
        <v>28</v>
      </c>
      <c r="N161" s="15" t="s">
        <v>16</v>
      </c>
    </row>
    <row r="162" spans="1:14" x14ac:dyDescent="0.3">
      <c r="A162" s="8">
        <v>10161</v>
      </c>
      <c r="B162" s="9">
        <v>45896</v>
      </c>
      <c r="C162" s="10" t="s">
        <v>10</v>
      </c>
      <c r="D162" s="10" t="s">
        <v>11</v>
      </c>
      <c r="E162" s="10" t="s">
        <v>12</v>
      </c>
      <c r="F162" s="10" t="s">
        <v>196</v>
      </c>
      <c r="G162" s="10" t="s">
        <v>37</v>
      </c>
      <c r="H162" s="10">
        <v>19</v>
      </c>
      <c r="I162" s="10">
        <v>389</v>
      </c>
      <c r="J162" s="10">
        <v>7391</v>
      </c>
      <c r="K162" s="10">
        <v>4709.79</v>
      </c>
      <c r="L162" s="10">
        <v>2681.21</v>
      </c>
      <c r="M162" s="10" t="s">
        <v>28</v>
      </c>
      <c r="N162" s="11" t="s">
        <v>40</v>
      </c>
    </row>
    <row r="163" spans="1:14" x14ac:dyDescent="0.3">
      <c r="A163" s="12">
        <v>10162</v>
      </c>
      <c r="B163" s="13">
        <v>46016</v>
      </c>
      <c r="C163" s="14" t="s">
        <v>23</v>
      </c>
      <c r="D163" s="14" t="s">
        <v>32</v>
      </c>
      <c r="E163" s="14" t="s">
        <v>69</v>
      </c>
      <c r="F163" s="14" t="s">
        <v>197</v>
      </c>
      <c r="G163" s="14" t="s">
        <v>21</v>
      </c>
      <c r="H163" s="14">
        <v>5</v>
      </c>
      <c r="I163" s="14">
        <v>423.67</v>
      </c>
      <c r="J163" s="14">
        <v>2118.35</v>
      </c>
      <c r="K163" s="14">
        <v>1342.81</v>
      </c>
      <c r="L163" s="14">
        <v>775.54</v>
      </c>
      <c r="M163" s="14" t="s">
        <v>28</v>
      </c>
      <c r="N163" s="15" t="s">
        <v>26</v>
      </c>
    </row>
    <row r="164" spans="1:14" x14ac:dyDescent="0.3">
      <c r="A164" s="8">
        <v>10163</v>
      </c>
      <c r="B164" s="9">
        <v>45726</v>
      </c>
      <c r="C164" s="10" t="s">
        <v>23</v>
      </c>
      <c r="D164" s="10" t="s">
        <v>32</v>
      </c>
      <c r="E164" s="10" t="s">
        <v>69</v>
      </c>
      <c r="F164" s="10" t="s">
        <v>70</v>
      </c>
      <c r="G164" s="10" t="s">
        <v>14</v>
      </c>
      <c r="H164" s="10">
        <v>5</v>
      </c>
      <c r="I164" s="10">
        <v>1485.82</v>
      </c>
      <c r="J164" s="10">
        <v>7429.1</v>
      </c>
      <c r="K164" s="10">
        <v>5206.62</v>
      </c>
      <c r="L164" s="10">
        <v>2222.48</v>
      </c>
      <c r="M164" s="10" t="s">
        <v>22</v>
      </c>
      <c r="N164" s="11" t="s">
        <v>40</v>
      </c>
    </row>
    <row r="165" spans="1:14" x14ac:dyDescent="0.3">
      <c r="A165" s="12">
        <v>10164</v>
      </c>
      <c r="B165" s="13">
        <v>45832</v>
      </c>
      <c r="C165" s="14" t="s">
        <v>17</v>
      </c>
      <c r="D165" s="14" t="s">
        <v>11</v>
      </c>
      <c r="E165" s="14" t="s">
        <v>12</v>
      </c>
      <c r="F165" s="14" t="s">
        <v>198</v>
      </c>
      <c r="G165" s="14" t="s">
        <v>31</v>
      </c>
      <c r="H165" s="14">
        <v>16</v>
      </c>
      <c r="I165" s="14">
        <v>308.42</v>
      </c>
      <c r="J165" s="14">
        <v>4934.72</v>
      </c>
      <c r="K165" s="14">
        <v>4102.4799999999996</v>
      </c>
      <c r="L165" s="14">
        <v>832.24</v>
      </c>
      <c r="M165" s="14" t="s">
        <v>28</v>
      </c>
      <c r="N165" s="15" t="s">
        <v>46</v>
      </c>
    </row>
    <row r="166" spans="1:14" x14ac:dyDescent="0.3">
      <c r="A166" s="8">
        <v>10165</v>
      </c>
      <c r="B166" s="9">
        <v>45955</v>
      </c>
      <c r="C166" s="10" t="s">
        <v>23</v>
      </c>
      <c r="D166" s="10" t="s">
        <v>18</v>
      </c>
      <c r="E166" s="10" t="s">
        <v>19</v>
      </c>
      <c r="F166" s="10" t="s">
        <v>199</v>
      </c>
      <c r="G166" s="10" t="s">
        <v>14</v>
      </c>
      <c r="H166" s="10">
        <v>3</v>
      </c>
      <c r="I166" s="10">
        <v>600.61</v>
      </c>
      <c r="J166" s="10">
        <v>1801.83</v>
      </c>
      <c r="K166" s="10">
        <v>1483.02</v>
      </c>
      <c r="L166" s="10">
        <v>318.81</v>
      </c>
      <c r="M166" s="10" t="s">
        <v>15</v>
      </c>
      <c r="N166" s="11" t="s">
        <v>26</v>
      </c>
    </row>
    <row r="167" spans="1:14" x14ac:dyDescent="0.3">
      <c r="A167" s="12">
        <v>10166</v>
      </c>
      <c r="B167" s="13">
        <v>45952</v>
      </c>
      <c r="C167" s="14" t="s">
        <v>23</v>
      </c>
      <c r="D167" s="14" t="s">
        <v>32</v>
      </c>
      <c r="E167" s="14" t="s">
        <v>33</v>
      </c>
      <c r="F167" s="14" t="s">
        <v>200</v>
      </c>
      <c r="G167" s="14" t="s">
        <v>21</v>
      </c>
      <c r="H167" s="14">
        <v>12</v>
      </c>
      <c r="I167" s="14">
        <v>880.73</v>
      </c>
      <c r="J167" s="14">
        <v>10568.76</v>
      </c>
      <c r="K167" s="14">
        <v>7972.32</v>
      </c>
      <c r="L167" s="14">
        <v>2596.44</v>
      </c>
      <c r="M167" s="14" t="s">
        <v>15</v>
      </c>
      <c r="N167" s="15" t="s">
        <v>40</v>
      </c>
    </row>
    <row r="168" spans="1:14" x14ac:dyDescent="0.3">
      <c r="A168" s="8">
        <v>10167</v>
      </c>
      <c r="B168" s="9">
        <v>46017</v>
      </c>
      <c r="C168" s="10" t="s">
        <v>23</v>
      </c>
      <c r="D168" s="10" t="s">
        <v>32</v>
      </c>
      <c r="E168" s="10" t="s">
        <v>69</v>
      </c>
      <c r="F168" s="10" t="s">
        <v>201</v>
      </c>
      <c r="G168" s="10" t="s">
        <v>37</v>
      </c>
      <c r="H168" s="10">
        <v>20</v>
      </c>
      <c r="I168" s="10">
        <v>660.38</v>
      </c>
      <c r="J168" s="10">
        <v>13207.6</v>
      </c>
      <c r="K168" s="10">
        <v>10539.24</v>
      </c>
      <c r="L168" s="10">
        <v>2668.36</v>
      </c>
      <c r="M168" s="10" t="s">
        <v>22</v>
      </c>
      <c r="N168" s="11" t="s">
        <v>26</v>
      </c>
    </row>
    <row r="169" spans="1:14" x14ac:dyDescent="0.3">
      <c r="A169" s="12">
        <v>10168</v>
      </c>
      <c r="B169" s="13">
        <v>45873</v>
      </c>
      <c r="C169" s="14" t="s">
        <v>10</v>
      </c>
      <c r="D169" s="14" t="s">
        <v>18</v>
      </c>
      <c r="E169" s="14" t="s">
        <v>29</v>
      </c>
      <c r="F169" s="14" t="s">
        <v>202</v>
      </c>
      <c r="G169" s="14" t="s">
        <v>21</v>
      </c>
      <c r="H169" s="14">
        <v>17</v>
      </c>
      <c r="I169" s="14">
        <v>848.8</v>
      </c>
      <c r="J169" s="14">
        <v>14429.6</v>
      </c>
      <c r="K169" s="14">
        <v>8469.11</v>
      </c>
      <c r="L169" s="14">
        <v>5960.49</v>
      </c>
      <c r="M169" s="14" t="s">
        <v>28</v>
      </c>
      <c r="N169" s="15" t="s">
        <v>26</v>
      </c>
    </row>
    <row r="170" spans="1:14" x14ac:dyDescent="0.3">
      <c r="A170" s="8">
        <v>10169</v>
      </c>
      <c r="B170" s="9">
        <v>46021</v>
      </c>
      <c r="C170" s="10" t="s">
        <v>41</v>
      </c>
      <c r="D170" s="10" t="s">
        <v>32</v>
      </c>
      <c r="E170" s="10" t="s">
        <v>69</v>
      </c>
      <c r="F170" s="10" t="s">
        <v>203</v>
      </c>
      <c r="G170" s="10" t="s">
        <v>14</v>
      </c>
      <c r="H170" s="10">
        <v>9</v>
      </c>
      <c r="I170" s="10">
        <v>679.71</v>
      </c>
      <c r="J170" s="10">
        <v>6117.39</v>
      </c>
      <c r="K170" s="10">
        <v>4482.54</v>
      </c>
      <c r="L170" s="10">
        <v>1634.85</v>
      </c>
      <c r="M170" s="10" t="s">
        <v>28</v>
      </c>
      <c r="N170" s="11" t="s">
        <v>26</v>
      </c>
    </row>
    <row r="171" spans="1:14" x14ac:dyDescent="0.3">
      <c r="A171" s="12">
        <v>10170</v>
      </c>
      <c r="B171" s="13">
        <v>45699</v>
      </c>
      <c r="C171" s="14" t="s">
        <v>10</v>
      </c>
      <c r="D171" s="14" t="s">
        <v>32</v>
      </c>
      <c r="E171" s="14" t="s">
        <v>33</v>
      </c>
      <c r="F171" s="14" t="s">
        <v>204</v>
      </c>
      <c r="G171" s="14" t="s">
        <v>51</v>
      </c>
      <c r="H171" s="14">
        <v>11</v>
      </c>
      <c r="I171" s="14">
        <v>170.46</v>
      </c>
      <c r="J171" s="14">
        <v>1875.06</v>
      </c>
      <c r="K171" s="14">
        <v>1455.9</v>
      </c>
      <c r="L171" s="14">
        <v>419.16</v>
      </c>
      <c r="M171" s="14" t="s">
        <v>15</v>
      </c>
      <c r="N171" s="15" t="s">
        <v>40</v>
      </c>
    </row>
    <row r="172" spans="1:14" x14ac:dyDescent="0.3">
      <c r="A172" s="8">
        <v>10171</v>
      </c>
      <c r="B172" s="9">
        <v>45754</v>
      </c>
      <c r="C172" s="10" t="s">
        <v>10</v>
      </c>
      <c r="D172" s="10" t="s">
        <v>32</v>
      </c>
      <c r="E172" s="10" t="s">
        <v>33</v>
      </c>
      <c r="F172" s="10" t="s">
        <v>205</v>
      </c>
      <c r="G172" s="10" t="s">
        <v>51</v>
      </c>
      <c r="H172" s="10">
        <v>2</v>
      </c>
      <c r="I172" s="10">
        <v>1280.29</v>
      </c>
      <c r="J172" s="10">
        <v>2560.58</v>
      </c>
      <c r="K172" s="10">
        <v>1284.98</v>
      </c>
      <c r="L172" s="10">
        <v>1275.5999999999999</v>
      </c>
      <c r="M172" s="10" t="s">
        <v>15</v>
      </c>
      <c r="N172" s="11" t="s">
        <v>16</v>
      </c>
    </row>
    <row r="173" spans="1:14" x14ac:dyDescent="0.3">
      <c r="A173" s="12">
        <v>10172</v>
      </c>
      <c r="B173" s="13">
        <v>45830</v>
      </c>
      <c r="C173" s="14" t="s">
        <v>17</v>
      </c>
      <c r="D173" s="14" t="s">
        <v>11</v>
      </c>
      <c r="E173" s="14" t="s">
        <v>38</v>
      </c>
      <c r="F173" s="14" t="s">
        <v>206</v>
      </c>
      <c r="G173" s="14" t="s">
        <v>31</v>
      </c>
      <c r="H173" s="14">
        <v>15</v>
      </c>
      <c r="I173" s="14">
        <v>859.05</v>
      </c>
      <c r="J173" s="14">
        <v>12885.75</v>
      </c>
      <c r="K173" s="14">
        <v>11376.59</v>
      </c>
      <c r="L173" s="14">
        <v>1509.16</v>
      </c>
      <c r="M173" s="14" t="s">
        <v>22</v>
      </c>
      <c r="N173" s="15" t="s">
        <v>26</v>
      </c>
    </row>
    <row r="174" spans="1:14" x14ac:dyDescent="0.3">
      <c r="A174" s="8">
        <v>10173</v>
      </c>
      <c r="B174" s="9">
        <v>45869</v>
      </c>
      <c r="C174" s="10" t="s">
        <v>23</v>
      </c>
      <c r="D174" s="10" t="s">
        <v>32</v>
      </c>
      <c r="E174" s="10" t="s">
        <v>49</v>
      </c>
      <c r="F174" s="10" t="s">
        <v>207</v>
      </c>
      <c r="G174" s="10" t="s">
        <v>21</v>
      </c>
      <c r="H174" s="10">
        <v>9</v>
      </c>
      <c r="I174" s="10">
        <v>643.82000000000005</v>
      </c>
      <c r="J174" s="10">
        <v>5794.38</v>
      </c>
      <c r="K174" s="10">
        <v>4378.22</v>
      </c>
      <c r="L174" s="10">
        <v>1416.16</v>
      </c>
      <c r="M174" s="10" t="s">
        <v>15</v>
      </c>
      <c r="N174" s="11" t="s">
        <v>40</v>
      </c>
    </row>
    <row r="175" spans="1:14" x14ac:dyDescent="0.3">
      <c r="A175" s="12">
        <v>10174</v>
      </c>
      <c r="B175" s="13">
        <v>45890</v>
      </c>
      <c r="C175" s="14" t="s">
        <v>23</v>
      </c>
      <c r="D175" s="14" t="s">
        <v>32</v>
      </c>
      <c r="E175" s="14" t="s">
        <v>69</v>
      </c>
      <c r="F175" s="14" t="s">
        <v>208</v>
      </c>
      <c r="G175" s="14" t="s">
        <v>37</v>
      </c>
      <c r="H175" s="14">
        <v>14</v>
      </c>
      <c r="I175" s="14">
        <v>803.76</v>
      </c>
      <c r="J175" s="14">
        <v>11252.64</v>
      </c>
      <c r="K175" s="14">
        <v>6398.2</v>
      </c>
      <c r="L175" s="14">
        <v>4854.4399999999996</v>
      </c>
      <c r="M175" s="14" t="s">
        <v>15</v>
      </c>
      <c r="N175" s="15" t="s">
        <v>46</v>
      </c>
    </row>
    <row r="176" spans="1:14" x14ac:dyDescent="0.3">
      <c r="A176" s="8">
        <v>10175</v>
      </c>
      <c r="B176" s="9">
        <v>45964</v>
      </c>
      <c r="C176" s="10" t="s">
        <v>41</v>
      </c>
      <c r="D176" s="10" t="s">
        <v>18</v>
      </c>
      <c r="E176" s="10" t="s">
        <v>29</v>
      </c>
      <c r="F176" s="10" t="s">
        <v>209</v>
      </c>
      <c r="G176" s="10" t="s">
        <v>14</v>
      </c>
      <c r="H176" s="10">
        <v>1</v>
      </c>
      <c r="I176" s="10">
        <v>1205.68</v>
      </c>
      <c r="J176" s="10">
        <v>1205.68</v>
      </c>
      <c r="K176" s="10">
        <v>1069.77</v>
      </c>
      <c r="L176" s="10">
        <v>135.91</v>
      </c>
      <c r="M176" s="10" t="s">
        <v>15</v>
      </c>
      <c r="N176" s="11" t="s">
        <v>46</v>
      </c>
    </row>
    <row r="177" spans="1:14" x14ac:dyDescent="0.3">
      <c r="A177" s="12">
        <v>10176</v>
      </c>
      <c r="B177" s="13">
        <v>46011</v>
      </c>
      <c r="C177" s="14" t="s">
        <v>10</v>
      </c>
      <c r="D177" s="14" t="s">
        <v>18</v>
      </c>
      <c r="E177" s="14" t="s">
        <v>19</v>
      </c>
      <c r="F177" s="14" t="s">
        <v>210</v>
      </c>
      <c r="G177" s="14" t="s">
        <v>37</v>
      </c>
      <c r="H177" s="14">
        <v>6</v>
      </c>
      <c r="I177" s="14">
        <v>629.54999999999995</v>
      </c>
      <c r="J177" s="14">
        <v>3777.3</v>
      </c>
      <c r="K177" s="14">
        <v>2755.32</v>
      </c>
      <c r="L177" s="14">
        <v>1021.98</v>
      </c>
      <c r="M177" s="14" t="s">
        <v>15</v>
      </c>
      <c r="N177" s="15" t="s">
        <v>46</v>
      </c>
    </row>
    <row r="178" spans="1:14" x14ac:dyDescent="0.3">
      <c r="A178" s="8">
        <v>10177</v>
      </c>
      <c r="B178" s="9">
        <v>45988</v>
      </c>
      <c r="C178" s="10" t="s">
        <v>10</v>
      </c>
      <c r="D178" s="10" t="s">
        <v>11</v>
      </c>
      <c r="E178" s="10" t="s">
        <v>38</v>
      </c>
      <c r="F178" s="10" t="s">
        <v>211</v>
      </c>
      <c r="G178" s="10" t="s">
        <v>37</v>
      </c>
      <c r="H178" s="10">
        <v>14</v>
      </c>
      <c r="I178" s="10">
        <v>380.54</v>
      </c>
      <c r="J178" s="10">
        <v>5327.56</v>
      </c>
      <c r="K178" s="10">
        <v>4775.5200000000004</v>
      </c>
      <c r="L178" s="10">
        <v>552.04</v>
      </c>
      <c r="M178" s="10" t="s">
        <v>15</v>
      </c>
      <c r="N178" s="11" t="s">
        <v>46</v>
      </c>
    </row>
    <row r="179" spans="1:14" x14ac:dyDescent="0.3">
      <c r="A179" s="12">
        <v>10178</v>
      </c>
      <c r="B179" s="13">
        <v>45838</v>
      </c>
      <c r="C179" s="14" t="s">
        <v>23</v>
      </c>
      <c r="D179" s="14" t="s">
        <v>11</v>
      </c>
      <c r="E179" s="14" t="s">
        <v>38</v>
      </c>
      <c r="F179" s="14" t="s">
        <v>212</v>
      </c>
      <c r="G179" s="14" t="s">
        <v>25</v>
      </c>
      <c r="H179" s="14">
        <v>19</v>
      </c>
      <c r="I179" s="14">
        <v>1299.44</v>
      </c>
      <c r="J179" s="14">
        <v>24689.360000000001</v>
      </c>
      <c r="K179" s="14">
        <v>18785.650000000001</v>
      </c>
      <c r="L179" s="14">
        <v>5903.71</v>
      </c>
      <c r="M179" s="14" t="s">
        <v>22</v>
      </c>
      <c r="N179" s="15" t="s">
        <v>46</v>
      </c>
    </row>
    <row r="180" spans="1:14" x14ac:dyDescent="0.3">
      <c r="A180" s="8">
        <v>10179</v>
      </c>
      <c r="B180" s="9">
        <v>45775</v>
      </c>
      <c r="C180" s="10" t="s">
        <v>41</v>
      </c>
      <c r="D180" s="10" t="s">
        <v>11</v>
      </c>
      <c r="E180" s="10" t="s">
        <v>38</v>
      </c>
      <c r="F180" s="10" t="s">
        <v>213</v>
      </c>
      <c r="G180" s="10" t="s">
        <v>37</v>
      </c>
      <c r="H180" s="10">
        <v>5</v>
      </c>
      <c r="I180" s="10">
        <v>993.35</v>
      </c>
      <c r="J180" s="10">
        <v>4966.75</v>
      </c>
      <c r="K180" s="10">
        <v>2503.4499999999998</v>
      </c>
      <c r="L180" s="10">
        <v>2463.3000000000002</v>
      </c>
      <c r="M180" s="10" t="s">
        <v>15</v>
      </c>
      <c r="N180" s="11" t="s">
        <v>16</v>
      </c>
    </row>
    <row r="181" spans="1:14" x14ac:dyDescent="0.3">
      <c r="A181" s="12">
        <v>10180</v>
      </c>
      <c r="B181" s="13">
        <v>46021</v>
      </c>
      <c r="C181" s="14" t="s">
        <v>23</v>
      </c>
      <c r="D181" s="14" t="s">
        <v>11</v>
      </c>
      <c r="E181" s="14" t="s">
        <v>12</v>
      </c>
      <c r="F181" s="14" t="s">
        <v>214</v>
      </c>
      <c r="G181" s="14" t="s">
        <v>21</v>
      </c>
      <c r="H181" s="14">
        <v>6</v>
      </c>
      <c r="I181" s="14">
        <v>346.74</v>
      </c>
      <c r="J181" s="14">
        <v>2080.44</v>
      </c>
      <c r="K181" s="14">
        <v>1335.3</v>
      </c>
      <c r="L181" s="14">
        <v>745.14</v>
      </c>
      <c r="M181" s="14" t="s">
        <v>15</v>
      </c>
      <c r="N181" s="15" t="s">
        <v>26</v>
      </c>
    </row>
    <row r="182" spans="1:14" x14ac:dyDescent="0.3">
      <c r="A182" s="8">
        <v>10181</v>
      </c>
      <c r="B182" s="9">
        <v>45997</v>
      </c>
      <c r="C182" s="10" t="s">
        <v>41</v>
      </c>
      <c r="D182" s="10" t="s">
        <v>11</v>
      </c>
      <c r="E182" s="10" t="s">
        <v>38</v>
      </c>
      <c r="F182" s="10" t="s">
        <v>215</v>
      </c>
      <c r="G182" s="10" t="s">
        <v>25</v>
      </c>
      <c r="H182" s="10">
        <v>1</v>
      </c>
      <c r="I182" s="10">
        <v>913.98</v>
      </c>
      <c r="J182" s="10">
        <v>913.98</v>
      </c>
      <c r="K182" s="10">
        <v>696.01</v>
      </c>
      <c r="L182" s="10">
        <v>217.97</v>
      </c>
      <c r="M182" s="10" t="s">
        <v>28</v>
      </c>
      <c r="N182" s="11" t="s">
        <v>40</v>
      </c>
    </row>
    <row r="183" spans="1:14" x14ac:dyDescent="0.3">
      <c r="A183" s="12">
        <v>10182</v>
      </c>
      <c r="B183" s="13">
        <v>45939</v>
      </c>
      <c r="C183" s="14" t="s">
        <v>23</v>
      </c>
      <c r="D183" s="14" t="s">
        <v>11</v>
      </c>
      <c r="E183" s="14" t="s">
        <v>12</v>
      </c>
      <c r="F183" s="14" t="s">
        <v>216</v>
      </c>
      <c r="G183" s="14" t="s">
        <v>14</v>
      </c>
      <c r="H183" s="14">
        <v>14</v>
      </c>
      <c r="I183" s="14">
        <v>709.15</v>
      </c>
      <c r="J183" s="14">
        <v>9928.1</v>
      </c>
      <c r="K183" s="14">
        <v>7296.8</v>
      </c>
      <c r="L183" s="14">
        <v>2631.3</v>
      </c>
      <c r="M183" s="14" t="s">
        <v>28</v>
      </c>
      <c r="N183" s="15" t="s">
        <v>26</v>
      </c>
    </row>
    <row r="184" spans="1:14" x14ac:dyDescent="0.3">
      <c r="A184" s="8">
        <v>10183</v>
      </c>
      <c r="B184" s="9">
        <v>45997</v>
      </c>
      <c r="C184" s="10" t="s">
        <v>41</v>
      </c>
      <c r="D184" s="10" t="s">
        <v>11</v>
      </c>
      <c r="E184" s="10" t="s">
        <v>52</v>
      </c>
      <c r="F184" s="10" t="s">
        <v>217</v>
      </c>
      <c r="G184" s="10" t="s">
        <v>37</v>
      </c>
      <c r="H184" s="10">
        <v>16</v>
      </c>
      <c r="I184" s="10">
        <v>336.05</v>
      </c>
      <c r="J184" s="10">
        <v>5376.8</v>
      </c>
      <c r="K184" s="10">
        <v>4802.6400000000003</v>
      </c>
      <c r="L184" s="10">
        <v>574.16</v>
      </c>
      <c r="M184" s="10" t="s">
        <v>28</v>
      </c>
      <c r="N184" s="11" t="s">
        <v>46</v>
      </c>
    </row>
    <row r="185" spans="1:14" x14ac:dyDescent="0.3">
      <c r="A185" s="12">
        <v>10184</v>
      </c>
      <c r="B185" s="13">
        <v>45954</v>
      </c>
      <c r="C185" s="14" t="s">
        <v>17</v>
      </c>
      <c r="D185" s="14" t="s">
        <v>18</v>
      </c>
      <c r="E185" s="14" t="s">
        <v>35</v>
      </c>
      <c r="F185" s="14" t="s">
        <v>218</v>
      </c>
      <c r="G185" s="14" t="s">
        <v>37</v>
      </c>
      <c r="H185" s="14">
        <v>19</v>
      </c>
      <c r="I185" s="14">
        <v>523.20000000000005</v>
      </c>
      <c r="J185" s="14">
        <v>9940.7999999999993</v>
      </c>
      <c r="K185" s="14">
        <v>8480.69</v>
      </c>
      <c r="L185" s="14">
        <v>1460.11</v>
      </c>
      <c r="M185" s="14" t="s">
        <v>28</v>
      </c>
      <c r="N185" s="15" t="s">
        <v>26</v>
      </c>
    </row>
    <row r="186" spans="1:14" x14ac:dyDescent="0.3">
      <c r="A186" s="8">
        <v>10185</v>
      </c>
      <c r="B186" s="9">
        <v>46012</v>
      </c>
      <c r="C186" s="10" t="s">
        <v>10</v>
      </c>
      <c r="D186" s="10" t="s">
        <v>18</v>
      </c>
      <c r="E186" s="10" t="s">
        <v>19</v>
      </c>
      <c r="F186" s="10" t="s">
        <v>219</v>
      </c>
      <c r="G186" s="10" t="s">
        <v>37</v>
      </c>
      <c r="H186" s="10">
        <v>11</v>
      </c>
      <c r="I186" s="10">
        <v>1420.68</v>
      </c>
      <c r="J186" s="10">
        <v>15627.48</v>
      </c>
      <c r="K186" s="10">
        <v>13995.15</v>
      </c>
      <c r="L186" s="10">
        <v>1632.33</v>
      </c>
      <c r="M186" s="10" t="s">
        <v>22</v>
      </c>
      <c r="N186" s="11" t="s">
        <v>26</v>
      </c>
    </row>
    <row r="187" spans="1:14" x14ac:dyDescent="0.3">
      <c r="A187" s="12">
        <v>10186</v>
      </c>
      <c r="B187" s="13">
        <v>46000</v>
      </c>
      <c r="C187" s="14" t="s">
        <v>23</v>
      </c>
      <c r="D187" s="14" t="s">
        <v>11</v>
      </c>
      <c r="E187" s="14" t="s">
        <v>38</v>
      </c>
      <c r="F187" s="14" t="s">
        <v>220</v>
      </c>
      <c r="G187" s="14" t="s">
        <v>51</v>
      </c>
      <c r="H187" s="14">
        <v>7</v>
      </c>
      <c r="I187" s="14">
        <v>276.47000000000003</v>
      </c>
      <c r="J187" s="14">
        <v>1935.29</v>
      </c>
      <c r="K187" s="14">
        <v>1711.72</v>
      </c>
      <c r="L187" s="14">
        <v>223.57</v>
      </c>
      <c r="M187" s="14" t="s">
        <v>28</v>
      </c>
      <c r="N187" s="15" t="s">
        <v>40</v>
      </c>
    </row>
    <row r="188" spans="1:14" x14ac:dyDescent="0.3">
      <c r="A188" s="8">
        <v>10187</v>
      </c>
      <c r="B188" s="9">
        <v>45827</v>
      </c>
      <c r="C188" s="10" t="s">
        <v>41</v>
      </c>
      <c r="D188" s="10" t="s">
        <v>18</v>
      </c>
      <c r="E188" s="10" t="s">
        <v>29</v>
      </c>
      <c r="F188" s="10" t="s">
        <v>221</v>
      </c>
      <c r="G188" s="10" t="s">
        <v>25</v>
      </c>
      <c r="H188" s="10">
        <v>18</v>
      </c>
      <c r="I188" s="10">
        <v>481.27</v>
      </c>
      <c r="J188" s="10">
        <v>8662.86</v>
      </c>
      <c r="K188" s="10">
        <v>4473.6000000000004</v>
      </c>
      <c r="L188" s="10">
        <v>4189.26</v>
      </c>
      <c r="M188" s="10" t="s">
        <v>28</v>
      </c>
      <c r="N188" s="11" t="s">
        <v>26</v>
      </c>
    </row>
    <row r="189" spans="1:14" x14ac:dyDescent="0.3">
      <c r="A189" s="12">
        <v>10188</v>
      </c>
      <c r="B189" s="13">
        <v>45873</v>
      </c>
      <c r="C189" s="14" t="s">
        <v>10</v>
      </c>
      <c r="D189" s="14" t="s">
        <v>11</v>
      </c>
      <c r="E189" s="14" t="s">
        <v>12</v>
      </c>
      <c r="F189" s="14" t="s">
        <v>222</v>
      </c>
      <c r="G189" s="14" t="s">
        <v>51</v>
      </c>
      <c r="H189" s="14">
        <v>20</v>
      </c>
      <c r="I189" s="14">
        <v>370.54</v>
      </c>
      <c r="J189" s="14">
        <v>7410.8</v>
      </c>
      <c r="K189" s="14">
        <v>6218.76</v>
      </c>
      <c r="L189" s="14">
        <v>1192.04</v>
      </c>
      <c r="M189" s="14" t="s">
        <v>22</v>
      </c>
      <c r="N189" s="15" t="s">
        <v>26</v>
      </c>
    </row>
    <row r="190" spans="1:14" x14ac:dyDescent="0.3">
      <c r="A190" s="8">
        <v>10189</v>
      </c>
      <c r="B190" s="9">
        <v>45750</v>
      </c>
      <c r="C190" s="10" t="s">
        <v>41</v>
      </c>
      <c r="D190" s="10" t="s">
        <v>32</v>
      </c>
      <c r="E190" s="10" t="s">
        <v>49</v>
      </c>
      <c r="F190" s="10" t="s">
        <v>223</v>
      </c>
      <c r="G190" s="10" t="s">
        <v>37</v>
      </c>
      <c r="H190" s="10">
        <v>16</v>
      </c>
      <c r="I190" s="10">
        <v>887.87</v>
      </c>
      <c r="J190" s="10">
        <v>14205.92</v>
      </c>
      <c r="K190" s="10">
        <v>11473.59</v>
      </c>
      <c r="L190" s="10">
        <v>2732.33</v>
      </c>
      <c r="M190" s="10" t="s">
        <v>15</v>
      </c>
      <c r="N190" s="11" t="s">
        <v>26</v>
      </c>
    </row>
    <row r="191" spans="1:14" x14ac:dyDescent="0.3">
      <c r="A191" s="12">
        <v>10190</v>
      </c>
      <c r="B191" s="13">
        <v>45981</v>
      </c>
      <c r="C191" s="14" t="s">
        <v>10</v>
      </c>
      <c r="D191" s="14" t="s">
        <v>11</v>
      </c>
      <c r="E191" s="14" t="s">
        <v>12</v>
      </c>
      <c r="F191" s="14" t="s">
        <v>224</v>
      </c>
      <c r="G191" s="14" t="s">
        <v>14</v>
      </c>
      <c r="H191" s="14">
        <v>9</v>
      </c>
      <c r="I191" s="14">
        <v>491.86</v>
      </c>
      <c r="J191" s="14">
        <v>4426.74</v>
      </c>
      <c r="K191" s="14">
        <v>3449.4</v>
      </c>
      <c r="L191" s="14">
        <v>977.34</v>
      </c>
      <c r="M191" s="14" t="s">
        <v>15</v>
      </c>
      <c r="N191" s="15" t="s">
        <v>40</v>
      </c>
    </row>
    <row r="192" spans="1:14" x14ac:dyDescent="0.3">
      <c r="A192" s="8">
        <v>10191</v>
      </c>
      <c r="B192" s="9">
        <v>45954</v>
      </c>
      <c r="C192" s="10" t="s">
        <v>23</v>
      </c>
      <c r="D192" s="10" t="s">
        <v>32</v>
      </c>
      <c r="E192" s="10" t="s">
        <v>49</v>
      </c>
      <c r="F192" s="10" t="s">
        <v>225</v>
      </c>
      <c r="G192" s="10" t="s">
        <v>51</v>
      </c>
      <c r="H192" s="10">
        <v>18</v>
      </c>
      <c r="I192" s="10">
        <v>25.27</v>
      </c>
      <c r="J192" s="10">
        <v>454.86</v>
      </c>
      <c r="K192" s="10">
        <v>306.77</v>
      </c>
      <c r="L192" s="10">
        <v>148.09</v>
      </c>
      <c r="M192" s="10" t="s">
        <v>28</v>
      </c>
      <c r="N192" s="11" t="s">
        <v>16</v>
      </c>
    </row>
    <row r="193" spans="1:14" x14ac:dyDescent="0.3">
      <c r="A193" s="12">
        <v>10192</v>
      </c>
      <c r="B193" s="13">
        <v>45944</v>
      </c>
      <c r="C193" s="14" t="s">
        <v>17</v>
      </c>
      <c r="D193" s="14" t="s">
        <v>11</v>
      </c>
      <c r="E193" s="14" t="s">
        <v>52</v>
      </c>
      <c r="F193" s="14" t="s">
        <v>226</v>
      </c>
      <c r="G193" s="14" t="s">
        <v>21</v>
      </c>
      <c r="H193" s="14">
        <v>8</v>
      </c>
      <c r="I193" s="14">
        <v>257.05</v>
      </c>
      <c r="J193" s="14">
        <v>2056.4</v>
      </c>
      <c r="K193" s="14">
        <v>1486.83</v>
      </c>
      <c r="L193" s="14">
        <v>569.57000000000005</v>
      </c>
      <c r="M193" s="14" t="s">
        <v>22</v>
      </c>
      <c r="N193" s="15" t="s">
        <v>46</v>
      </c>
    </row>
    <row r="194" spans="1:14" x14ac:dyDescent="0.3">
      <c r="A194" s="8">
        <v>10193</v>
      </c>
      <c r="B194" s="9">
        <v>45823</v>
      </c>
      <c r="C194" s="10" t="s">
        <v>10</v>
      </c>
      <c r="D194" s="10" t="s">
        <v>11</v>
      </c>
      <c r="E194" s="10" t="s">
        <v>52</v>
      </c>
      <c r="F194" s="10" t="s">
        <v>227</v>
      </c>
      <c r="G194" s="10" t="s">
        <v>31</v>
      </c>
      <c r="H194" s="10">
        <v>17</v>
      </c>
      <c r="I194" s="10">
        <v>1467.44</v>
      </c>
      <c r="J194" s="10">
        <v>24946.48</v>
      </c>
      <c r="K194" s="10">
        <v>20173.25</v>
      </c>
      <c r="L194" s="10">
        <v>4773.2299999999996</v>
      </c>
      <c r="M194" s="10" t="s">
        <v>22</v>
      </c>
      <c r="N194" s="11" t="s">
        <v>16</v>
      </c>
    </row>
    <row r="195" spans="1:14" x14ac:dyDescent="0.3">
      <c r="A195" s="12">
        <v>10194</v>
      </c>
      <c r="B195" s="13">
        <v>45792</v>
      </c>
      <c r="C195" s="14" t="s">
        <v>17</v>
      </c>
      <c r="D195" s="14" t="s">
        <v>32</v>
      </c>
      <c r="E195" s="14" t="s">
        <v>69</v>
      </c>
      <c r="F195" s="14" t="s">
        <v>228</v>
      </c>
      <c r="G195" s="14" t="s">
        <v>21</v>
      </c>
      <c r="H195" s="14">
        <v>14</v>
      </c>
      <c r="I195" s="14">
        <v>167.94</v>
      </c>
      <c r="J195" s="14">
        <v>2351.16</v>
      </c>
      <c r="K195" s="14">
        <v>1672.99</v>
      </c>
      <c r="L195" s="14">
        <v>678.17</v>
      </c>
      <c r="M195" s="14" t="s">
        <v>22</v>
      </c>
      <c r="N195" s="15" t="s">
        <v>40</v>
      </c>
    </row>
    <row r="196" spans="1:14" x14ac:dyDescent="0.3">
      <c r="A196" s="8">
        <v>10195</v>
      </c>
      <c r="B196" s="9">
        <v>45987</v>
      </c>
      <c r="C196" s="10" t="s">
        <v>23</v>
      </c>
      <c r="D196" s="10" t="s">
        <v>11</v>
      </c>
      <c r="E196" s="10" t="s">
        <v>38</v>
      </c>
      <c r="F196" s="10" t="s">
        <v>229</v>
      </c>
      <c r="G196" s="10" t="s">
        <v>37</v>
      </c>
      <c r="H196" s="10">
        <v>5</v>
      </c>
      <c r="I196" s="10">
        <v>1166.81</v>
      </c>
      <c r="J196" s="10">
        <v>5834.05</v>
      </c>
      <c r="K196" s="10">
        <v>3424.43</v>
      </c>
      <c r="L196" s="10">
        <v>2409.62</v>
      </c>
      <c r="M196" s="10" t="s">
        <v>28</v>
      </c>
      <c r="N196" s="11" t="s">
        <v>40</v>
      </c>
    </row>
    <row r="197" spans="1:14" x14ac:dyDescent="0.3">
      <c r="A197" s="12">
        <v>10196</v>
      </c>
      <c r="B197" s="13">
        <v>45870</v>
      </c>
      <c r="C197" s="14" t="s">
        <v>17</v>
      </c>
      <c r="D197" s="14" t="s">
        <v>32</v>
      </c>
      <c r="E197" s="14" t="s">
        <v>69</v>
      </c>
      <c r="F197" s="14" t="s">
        <v>230</v>
      </c>
      <c r="G197" s="14" t="s">
        <v>37</v>
      </c>
      <c r="H197" s="14">
        <v>1</v>
      </c>
      <c r="I197" s="14">
        <v>700.15</v>
      </c>
      <c r="J197" s="14">
        <v>700.15</v>
      </c>
      <c r="K197" s="14">
        <v>557.16999999999996</v>
      </c>
      <c r="L197" s="14">
        <v>142.97999999999999</v>
      </c>
      <c r="M197" s="14" t="s">
        <v>15</v>
      </c>
      <c r="N197" s="15" t="s">
        <v>46</v>
      </c>
    </row>
    <row r="198" spans="1:14" x14ac:dyDescent="0.3">
      <c r="A198" s="8">
        <v>10197</v>
      </c>
      <c r="B198" s="9">
        <v>45896</v>
      </c>
      <c r="C198" s="10" t="s">
        <v>10</v>
      </c>
      <c r="D198" s="10" t="s">
        <v>32</v>
      </c>
      <c r="E198" s="10" t="s">
        <v>49</v>
      </c>
      <c r="F198" s="10" t="s">
        <v>231</v>
      </c>
      <c r="G198" s="10" t="s">
        <v>21</v>
      </c>
      <c r="H198" s="10">
        <v>19</v>
      </c>
      <c r="I198" s="10">
        <v>867.62</v>
      </c>
      <c r="J198" s="10">
        <v>16484.78</v>
      </c>
      <c r="K198" s="10">
        <v>12542.85</v>
      </c>
      <c r="L198" s="10">
        <v>3941.93</v>
      </c>
      <c r="M198" s="10" t="s">
        <v>15</v>
      </c>
      <c r="N198" s="11" t="s">
        <v>26</v>
      </c>
    </row>
    <row r="199" spans="1:14" x14ac:dyDescent="0.3">
      <c r="A199" s="12">
        <v>10198</v>
      </c>
      <c r="B199" s="13">
        <v>45846</v>
      </c>
      <c r="C199" s="14" t="s">
        <v>23</v>
      </c>
      <c r="D199" s="14" t="s">
        <v>32</v>
      </c>
      <c r="E199" s="14" t="s">
        <v>33</v>
      </c>
      <c r="F199" s="14" t="s">
        <v>232</v>
      </c>
      <c r="G199" s="14" t="s">
        <v>25</v>
      </c>
      <c r="H199" s="14">
        <v>9</v>
      </c>
      <c r="I199" s="14">
        <v>898.84</v>
      </c>
      <c r="J199" s="14">
        <v>8089.56</v>
      </c>
      <c r="K199" s="14">
        <v>7057.35</v>
      </c>
      <c r="L199" s="14">
        <v>1032.21</v>
      </c>
      <c r="M199" s="14" t="s">
        <v>28</v>
      </c>
      <c r="N199" s="15" t="s">
        <v>46</v>
      </c>
    </row>
    <row r="200" spans="1:14" x14ac:dyDescent="0.3">
      <c r="A200" s="8">
        <v>10199</v>
      </c>
      <c r="B200" s="9">
        <v>45982</v>
      </c>
      <c r="C200" s="10" t="s">
        <v>23</v>
      </c>
      <c r="D200" s="10" t="s">
        <v>18</v>
      </c>
      <c r="E200" s="10" t="s">
        <v>35</v>
      </c>
      <c r="F200" s="10" t="s">
        <v>233</v>
      </c>
      <c r="G200" s="10" t="s">
        <v>37</v>
      </c>
      <c r="H200" s="10">
        <v>19</v>
      </c>
      <c r="I200" s="10">
        <v>150.24</v>
      </c>
      <c r="J200" s="10">
        <v>2854.56</v>
      </c>
      <c r="K200" s="10">
        <v>1442.18</v>
      </c>
      <c r="L200" s="10">
        <v>1412.38</v>
      </c>
      <c r="M200" s="10" t="s">
        <v>28</v>
      </c>
      <c r="N200" s="11" t="s">
        <v>40</v>
      </c>
    </row>
    <row r="201" spans="1:14" x14ac:dyDescent="0.3">
      <c r="A201" s="12">
        <v>10200</v>
      </c>
      <c r="B201" s="13">
        <v>45820</v>
      </c>
      <c r="C201" s="14" t="s">
        <v>41</v>
      </c>
      <c r="D201" s="14" t="s">
        <v>32</v>
      </c>
      <c r="E201" s="14" t="s">
        <v>33</v>
      </c>
      <c r="F201" s="14" t="s">
        <v>234</v>
      </c>
      <c r="G201" s="14" t="s">
        <v>14</v>
      </c>
      <c r="H201" s="14">
        <v>19</v>
      </c>
      <c r="I201" s="14">
        <v>1005.63</v>
      </c>
      <c r="J201" s="14">
        <v>19106.97</v>
      </c>
      <c r="K201" s="14">
        <v>15309.88</v>
      </c>
      <c r="L201" s="14">
        <v>3797.09</v>
      </c>
      <c r="M201" s="14" t="s">
        <v>28</v>
      </c>
      <c r="N201" s="15" t="s">
        <v>26</v>
      </c>
    </row>
    <row r="202" spans="1:14" x14ac:dyDescent="0.3">
      <c r="A202" s="8">
        <v>10201</v>
      </c>
      <c r="B202" s="9">
        <v>45911</v>
      </c>
      <c r="C202" s="10" t="s">
        <v>41</v>
      </c>
      <c r="D202" s="10" t="s">
        <v>11</v>
      </c>
      <c r="E202" s="10" t="s">
        <v>52</v>
      </c>
      <c r="F202" s="10" t="s">
        <v>235</v>
      </c>
      <c r="G202" s="10" t="s">
        <v>14</v>
      </c>
      <c r="H202" s="10">
        <v>7</v>
      </c>
      <c r="I202" s="10">
        <v>209.32</v>
      </c>
      <c r="J202" s="10">
        <v>1465.24</v>
      </c>
      <c r="K202" s="10">
        <v>1220.99</v>
      </c>
      <c r="L202" s="10">
        <v>244.25</v>
      </c>
      <c r="M202" s="10" t="s">
        <v>22</v>
      </c>
      <c r="N202" s="11" t="s">
        <v>26</v>
      </c>
    </row>
    <row r="203" spans="1:14" x14ac:dyDescent="0.3">
      <c r="A203" s="12">
        <v>10202</v>
      </c>
      <c r="B203" s="13">
        <v>45871</v>
      </c>
      <c r="C203" s="14" t="s">
        <v>10</v>
      </c>
      <c r="D203" s="14" t="s">
        <v>32</v>
      </c>
      <c r="E203" s="14" t="s">
        <v>33</v>
      </c>
      <c r="F203" s="14" t="s">
        <v>236</v>
      </c>
      <c r="G203" s="14" t="s">
        <v>37</v>
      </c>
      <c r="H203" s="14">
        <v>20</v>
      </c>
      <c r="I203" s="14">
        <v>452.74</v>
      </c>
      <c r="J203" s="14">
        <v>9054.7999999999993</v>
      </c>
      <c r="K203" s="14">
        <v>6792.13</v>
      </c>
      <c r="L203" s="14">
        <v>2262.67</v>
      </c>
      <c r="M203" s="14" t="s">
        <v>22</v>
      </c>
      <c r="N203" s="15" t="s">
        <v>46</v>
      </c>
    </row>
    <row r="204" spans="1:14" x14ac:dyDescent="0.3">
      <c r="A204" s="8">
        <v>10203</v>
      </c>
      <c r="B204" s="9">
        <v>46010</v>
      </c>
      <c r="C204" s="10" t="s">
        <v>17</v>
      </c>
      <c r="D204" s="10" t="s">
        <v>11</v>
      </c>
      <c r="E204" s="10" t="s">
        <v>38</v>
      </c>
      <c r="F204" s="10" t="s">
        <v>237</v>
      </c>
      <c r="G204" s="10" t="s">
        <v>25</v>
      </c>
      <c r="H204" s="10">
        <v>18</v>
      </c>
      <c r="I204" s="10">
        <v>1403.04</v>
      </c>
      <c r="J204" s="10">
        <v>25254.720000000001</v>
      </c>
      <c r="K204" s="10">
        <v>12765.99</v>
      </c>
      <c r="L204" s="10">
        <v>12488.73</v>
      </c>
      <c r="M204" s="10" t="s">
        <v>15</v>
      </c>
      <c r="N204" s="11" t="s">
        <v>46</v>
      </c>
    </row>
    <row r="205" spans="1:14" x14ac:dyDescent="0.3">
      <c r="A205" s="12">
        <v>10204</v>
      </c>
      <c r="B205" s="13">
        <v>45892</v>
      </c>
      <c r="C205" s="14" t="s">
        <v>17</v>
      </c>
      <c r="D205" s="14" t="s">
        <v>11</v>
      </c>
      <c r="E205" s="14" t="s">
        <v>52</v>
      </c>
      <c r="F205" s="14" t="s">
        <v>238</v>
      </c>
      <c r="G205" s="14" t="s">
        <v>25</v>
      </c>
      <c r="H205" s="14">
        <v>16</v>
      </c>
      <c r="I205" s="14">
        <v>378.59</v>
      </c>
      <c r="J205" s="14">
        <v>6057.44</v>
      </c>
      <c r="K205" s="14">
        <v>4025.81</v>
      </c>
      <c r="L205" s="14">
        <v>2031.63</v>
      </c>
      <c r="M205" s="14" t="s">
        <v>15</v>
      </c>
      <c r="N205" s="15" t="s">
        <v>46</v>
      </c>
    </row>
    <row r="206" spans="1:14" x14ac:dyDescent="0.3">
      <c r="A206" s="8">
        <v>10205</v>
      </c>
      <c r="B206" s="9">
        <v>45872</v>
      </c>
      <c r="C206" s="10" t="s">
        <v>17</v>
      </c>
      <c r="D206" s="10" t="s">
        <v>32</v>
      </c>
      <c r="E206" s="10" t="s">
        <v>49</v>
      </c>
      <c r="F206" s="10" t="s">
        <v>239</v>
      </c>
      <c r="G206" s="10" t="s">
        <v>21</v>
      </c>
      <c r="H206" s="10">
        <v>17</v>
      </c>
      <c r="I206" s="10">
        <v>1434.81</v>
      </c>
      <c r="J206" s="10">
        <v>24391.77</v>
      </c>
      <c r="K206" s="10">
        <v>15564.61</v>
      </c>
      <c r="L206" s="10">
        <v>8827.16</v>
      </c>
      <c r="M206" s="10" t="s">
        <v>22</v>
      </c>
      <c r="N206" s="11" t="s">
        <v>26</v>
      </c>
    </row>
    <row r="207" spans="1:14" x14ac:dyDescent="0.3">
      <c r="A207" s="12">
        <v>10206</v>
      </c>
      <c r="B207" s="13">
        <v>45669</v>
      </c>
      <c r="C207" s="14" t="s">
        <v>17</v>
      </c>
      <c r="D207" s="14" t="s">
        <v>11</v>
      </c>
      <c r="E207" s="14" t="s">
        <v>38</v>
      </c>
      <c r="F207" s="14" t="s">
        <v>240</v>
      </c>
      <c r="G207" s="14" t="s">
        <v>14</v>
      </c>
      <c r="H207" s="14">
        <v>2</v>
      </c>
      <c r="I207" s="14">
        <v>1278.94</v>
      </c>
      <c r="J207" s="14">
        <v>2557.88</v>
      </c>
      <c r="K207" s="14">
        <v>1535.11</v>
      </c>
      <c r="L207" s="14">
        <v>1022.77</v>
      </c>
      <c r="M207" s="14" t="s">
        <v>28</v>
      </c>
      <c r="N207" s="15" t="s">
        <v>40</v>
      </c>
    </row>
    <row r="208" spans="1:14" x14ac:dyDescent="0.3">
      <c r="A208" s="8">
        <v>10207</v>
      </c>
      <c r="B208" s="9">
        <v>45889</v>
      </c>
      <c r="C208" s="10" t="s">
        <v>17</v>
      </c>
      <c r="D208" s="10" t="s">
        <v>11</v>
      </c>
      <c r="E208" s="10" t="s">
        <v>38</v>
      </c>
      <c r="F208" s="10" t="s">
        <v>241</v>
      </c>
      <c r="G208" s="10" t="s">
        <v>21</v>
      </c>
      <c r="H208" s="10">
        <v>14</v>
      </c>
      <c r="I208" s="10">
        <v>934.58</v>
      </c>
      <c r="J208" s="10">
        <v>13084.12</v>
      </c>
      <c r="K208" s="10">
        <v>9175.58</v>
      </c>
      <c r="L208" s="10">
        <v>3908.54</v>
      </c>
      <c r="M208" s="10" t="s">
        <v>15</v>
      </c>
      <c r="N208" s="11" t="s">
        <v>26</v>
      </c>
    </row>
    <row r="209" spans="1:14" x14ac:dyDescent="0.3">
      <c r="A209" s="12">
        <v>10208</v>
      </c>
      <c r="B209" s="13">
        <v>45774</v>
      </c>
      <c r="C209" s="14" t="s">
        <v>17</v>
      </c>
      <c r="D209" s="14" t="s">
        <v>32</v>
      </c>
      <c r="E209" s="14" t="s">
        <v>49</v>
      </c>
      <c r="F209" s="14" t="s">
        <v>242</v>
      </c>
      <c r="G209" s="14" t="s">
        <v>31</v>
      </c>
      <c r="H209" s="14">
        <v>8</v>
      </c>
      <c r="I209" s="14">
        <v>87.86</v>
      </c>
      <c r="J209" s="14">
        <v>702.88</v>
      </c>
      <c r="K209" s="14">
        <v>577.70000000000005</v>
      </c>
      <c r="L209" s="14">
        <v>125.18</v>
      </c>
      <c r="M209" s="14" t="s">
        <v>22</v>
      </c>
      <c r="N209" s="15" t="s">
        <v>46</v>
      </c>
    </row>
    <row r="210" spans="1:14" x14ac:dyDescent="0.3">
      <c r="A210" s="8">
        <v>10209</v>
      </c>
      <c r="B210" s="9">
        <v>45733</v>
      </c>
      <c r="C210" s="10" t="s">
        <v>23</v>
      </c>
      <c r="D210" s="10" t="s">
        <v>32</v>
      </c>
      <c r="E210" s="10" t="s">
        <v>33</v>
      </c>
      <c r="F210" s="10" t="s">
        <v>243</v>
      </c>
      <c r="G210" s="10" t="s">
        <v>31</v>
      </c>
      <c r="H210" s="10">
        <v>19</v>
      </c>
      <c r="I210" s="10">
        <v>822.34</v>
      </c>
      <c r="J210" s="10">
        <v>15624.46</v>
      </c>
      <c r="K210" s="10">
        <v>8491.18</v>
      </c>
      <c r="L210" s="10">
        <v>7133.28</v>
      </c>
      <c r="M210" s="10" t="s">
        <v>28</v>
      </c>
      <c r="N210" s="11" t="s">
        <v>26</v>
      </c>
    </row>
    <row r="211" spans="1:14" x14ac:dyDescent="0.3">
      <c r="A211" s="12">
        <v>10210</v>
      </c>
      <c r="B211" s="13">
        <v>45916</v>
      </c>
      <c r="C211" s="14" t="s">
        <v>23</v>
      </c>
      <c r="D211" s="14" t="s">
        <v>18</v>
      </c>
      <c r="E211" s="14" t="s">
        <v>19</v>
      </c>
      <c r="F211" s="14" t="s">
        <v>244</v>
      </c>
      <c r="G211" s="14" t="s">
        <v>25</v>
      </c>
      <c r="H211" s="14">
        <v>17</v>
      </c>
      <c r="I211" s="14">
        <v>159</v>
      </c>
      <c r="J211" s="14">
        <v>2703</v>
      </c>
      <c r="K211" s="14">
        <v>2202.39</v>
      </c>
      <c r="L211" s="14">
        <v>500.61</v>
      </c>
      <c r="M211" s="14" t="s">
        <v>22</v>
      </c>
      <c r="N211" s="15" t="s">
        <v>26</v>
      </c>
    </row>
    <row r="212" spans="1:14" x14ac:dyDescent="0.3">
      <c r="A212" s="8">
        <v>10211</v>
      </c>
      <c r="B212" s="9">
        <v>45942</v>
      </c>
      <c r="C212" s="10" t="s">
        <v>23</v>
      </c>
      <c r="D212" s="10" t="s">
        <v>11</v>
      </c>
      <c r="E212" s="10" t="s">
        <v>52</v>
      </c>
      <c r="F212" s="10" t="s">
        <v>245</v>
      </c>
      <c r="G212" s="10" t="s">
        <v>25</v>
      </c>
      <c r="H212" s="10">
        <v>5</v>
      </c>
      <c r="I212" s="10">
        <v>1310.1400000000001</v>
      </c>
      <c r="J212" s="10">
        <v>6550.7</v>
      </c>
      <c r="K212" s="10">
        <v>3788.72</v>
      </c>
      <c r="L212" s="10">
        <v>2761.98</v>
      </c>
      <c r="M212" s="10" t="s">
        <v>28</v>
      </c>
      <c r="N212" s="11" t="s">
        <v>40</v>
      </c>
    </row>
    <row r="213" spans="1:14" x14ac:dyDescent="0.3">
      <c r="A213" s="12">
        <v>10212</v>
      </c>
      <c r="B213" s="13">
        <v>45841</v>
      </c>
      <c r="C213" s="14" t="s">
        <v>41</v>
      </c>
      <c r="D213" s="14" t="s">
        <v>18</v>
      </c>
      <c r="E213" s="14" t="s">
        <v>19</v>
      </c>
      <c r="F213" s="14" t="s">
        <v>246</v>
      </c>
      <c r="G213" s="14" t="s">
        <v>21</v>
      </c>
      <c r="H213" s="14">
        <v>15</v>
      </c>
      <c r="I213" s="14">
        <v>1386.08</v>
      </c>
      <c r="J213" s="14">
        <v>20791.2</v>
      </c>
      <c r="K213" s="14">
        <v>14897.11</v>
      </c>
      <c r="L213" s="14">
        <v>5894.09</v>
      </c>
      <c r="M213" s="14" t="s">
        <v>15</v>
      </c>
      <c r="N213" s="15" t="s">
        <v>46</v>
      </c>
    </row>
    <row r="214" spans="1:14" x14ac:dyDescent="0.3">
      <c r="A214" s="8">
        <v>10213</v>
      </c>
      <c r="B214" s="9">
        <v>45827</v>
      </c>
      <c r="C214" s="10" t="s">
        <v>23</v>
      </c>
      <c r="D214" s="10" t="s">
        <v>18</v>
      </c>
      <c r="E214" s="10" t="s">
        <v>29</v>
      </c>
      <c r="F214" s="10" t="s">
        <v>247</v>
      </c>
      <c r="G214" s="10" t="s">
        <v>25</v>
      </c>
      <c r="H214" s="10">
        <v>13</v>
      </c>
      <c r="I214" s="10">
        <v>497.16</v>
      </c>
      <c r="J214" s="10">
        <v>6463.08</v>
      </c>
      <c r="K214" s="10">
        <v>5669.31</v>
      </c>
      <c r="L214" s="10">
        <v>793.77</v>
      </c>
      <c r="M214" s="10" t="s">
        <v>15</v>
      </c>
      <c r="N214" s="11" t="s">
        <v>40</v>
      </c>
    </row>
    <row r="215" spans="1:14" x14ac:dyDescent="0.3">
      <c r="A215" s="12">
        <v>10214</v>
      </c>
      <c r="B215" s="13">
        <v>45909</v>
      </c>
      <c r="C215" s="14" t="s">
        <v>23</v>
      </c>
      <c r="D215" s="14" t="s">
        <v>32</v>
      </c>
      <c r="E215" s="14" t="s">
        <v>69</v>
      </c>
      <c r="F215" s="14" t="s">
        <v>248</v>
      </c>
      <c r="G215" s="14" t="s">
        <v>25</v>
      </c>
      <c r="H215" s="14">
        <v>15</v>
      </c>
      <c r="I215" s="14">
        <v>1488.63</v>
      </c>
      <c r="J215" s="14">
        <v>22329.45</v>
      </c>
      <c r="K215" s="14">
        <v>19863.97</v>
      </c>
      <c r="L215" s="14">
        <v>2465.48</v>
      </c>
      <c r="M215" s="14" t="s">
        <v>22</v>
      </c>
      <c r="N215" s="15" t="s">
        <v>26</v>
      </c>
    </row>
    <row r="216" spans="1:14" x14ac:dyDescent="0.3">
      <c r="A216" s="8">
        <v>10215</v>
      </c>
      <c r="B216" s="9">
        <v>45717</v>
      </c>
      <c r="C216" s="10" t="s">
        <v>41</v>
      </c>
      <c r="D216" s="10" t="s">
        <v>18</v>
      </c>
      <c r="E216" s="10" t="s">
        <v>29</v>
      </c>
      <c r="F216" s="10" t="s">
        <v>249</v>
      </c>
      <c r="G216" s="10" t="s">
        <v>14</v>
      </c>
      <c r="H216" s="10">
        <v>19</v>
      </c>
      <c r="I216" s="10">
        <v>493.48</v>
      </c>
      <c r="J216" s="10">
        <v>9376.1200000000008</v>
      </c>
      <c r="K216" s="10">
        <v>5367.09</v>
      </c>
      <c r="L216" s="10">
        <v>4009.03</v>
      </c>
      <c r="M216" s="10" t="s">
        <v>28</v>
      </c>
      <c r="N216" s="11" t="s">
        <v>40</v>
      </c>
    </row>
    <row r="217" spans="1:14" x14ac:dyDescent="0.3">
      <c r="A217" s="12">
        <v>10216</v>
      </c>
      <c r="B217" s="13">
        <v>45699</v>
      </c>
      <c r="C217" s="14" t="s">
        <v>10</v>
      </c>
      <c r="D217" s="14" t="s">
        <v>18</v>
      </c>
      <c r="E217" s="14" t="s">
        <v>19</v>
      </c>
      <c r="F217" s="14" t="s">
        <v>250</v>
      </c>
      <c r="G217" s="14" t="s">
        <v>21</v>
      </c>
      <c r="H217" s="14">
        <v>13</v>
      </c>
      <c r="I217" s="14">
        <v>450.17</v>
      </c>
      <c r="J217" s="14">
        <v>5852.21</v>
      </c>
      <c r="K217" s="14">
        <v>3598.34</v>
      </c>
      <c r="L217" s="14">
        <v>2253.87</v>
      </c>
      <c r="M217" s="14" t="s">
        <v>15</v>
      </c>
      <c r="N217" s="15" t="s">
        <v>40</v>
      </c>
    </row>
    <row r="218" spans="1:14" x14ac:dyDescent="0.3">
      <c r="A218" s="8">
        <v>10217</v>
      </c>
      <c r="B218" s="9">
        <v>45828</v>
      </c>
      <c r="C218" s="10" t="s">
        <v>23</v>
      </c>
      <c r="D218" s="10" t="s">
        <v>32</v>
      </c>
      <c r="E218" s="10" t="s">
        <v>69</v>
      </c>
      <c r="F218" s="10" t="s">
        <v>251</v>
      </c>
      <c r="G218" s="10" t="s">
        <v>14</v>
      </c>
      <c r="H218" s="10">
        <v>20</v>
      </c>
      <c r="I218" s="10">
        <v>1113.78</v>
      </c>
      <c r="J218" s="10">
        <v>22275.599999999999</v>
      </c>
      <c r="K218" s="10">
        <v>17926.150000000001</v>
      </c>
      <c r="L218" s="10">
        <v>4349.45</v>
      </c>
      <c r="M218" s="10" t="s">
        <v>22</v>
      </c>
      <c r="N218" s="11" t="s">
        <v>26</v>
      </c>
    </row>
    <row r="219" spans="1:14" x14ac:dyDescent="0.3">
      <c r="A219" s="12">
        <v>10218</v>
      </c>
      <c r="B219" s="13">
        <v>46019</v>
      </c>
      <c r="C219" s="14" t="s">
        <v>23</v>
      </c>
      <c r="D219" s="14" t="s">
        <v>18</v>
      </c>
      <c r="E219" s="14" t="s">
        <v>19</v>
      </c>
      <c r="F219" s="14" t="s">
        <v>252</v>
      </c>
      <c r="G219" s="14" t="s">
        <v>21</v>
      </c>
      <c r="H219" s="14">
        <v>3</v>
      </c>
      <c r="I219" s="14">
        <v>610</v>
      </c>
      <c r="J219" s="14">
        <v>1830</v>
      </c>
      <c r="K219" s="14">
        <v>1516.83</v>
      </c>
      <c r="L219" s="14">
        <v>313.17</v>
      </c>
      <c r="M219" s="14" t="s">
        <v>22</v>
      </c>
      <c r="N219" s="15" t="s">
        <v>16</v>
      </c>
    </row>
    <row r="220" spans="1:14" x14ac:dyDescent="0.3">
      <c r="A220" s="8">
        <v>10219</v>
      </c>
      <c r="B220" s="9">
        <v>45922</v>
      </c>
      <c r="C220" s="10" t="s">
        <v>17</v>
      </c>
      <c r="D220" s="10" t="s">
        <v>11</v>
      </c>
      <c r="E220" s="10" t="s">
        <v>12</v>
      </c>
      <c r="F220" s="10" t="s">
        <v>253</v>
      </c>
      <c r="G220" s="10" t="s">
        <v>25</v>
      </c>
      <c r="H220" s="10">
        <v>13</v>
      </c>
      <c r="I220" s="10">
        <v>354.99</v>
      </c>
      <c r="J220" s="10">
        <v>4614.87</v>
      </c>
      <c r="K220" s="10">
        <v>3394.64</v>
      </c>
      <c r="L220" s="10">
        <v>1220.23</v>
      </c>
      <c r="M220" s="10" t="s">
        <v>15</v>
      </c>
      <c r="N220" s="11" t="s">
        <v>46</v>
      </c>
    </row>
    <row r="221" spans="1:14" x14ac:dyDescent="0.3">
      <c r="A221" s="12">
        <v>10220</v>
      </c>
      <c r="B221" s="13">
        <v>45747</v>
      </c>
      <c r="C221" s="14" t="s">
        <v>41</v>
      </c>
      <c r="D221" s="14" t="s">
        <v>11</v>
      </c>
      <c r="E221" s="14" t="s">
        <v>12</v>
      </c>
      <c r="F221" s="14" t="s">
        <v>254</v>
      </c>
      <c r="G221" s="14" t="s">
        <v>25</v>
      </c>
      <c r="H221" s="14">
        <v>2</v>
      </c>
      <c r="I221" s="14">
        <v>55.45</v>
      </c>
      <c r="J221" s="14">
        <v>110.9</v>
      </c>
      <c r="K221" s="14">
        <v>80.97</v>
      </c>
      <c r="L221" s="14">
        <v>29.93</v>
      </c>
      <c r="M221" s="14" t="s">
        <v>15</v>
      </c>
      <c r="N221" s="15" t="s">
        <v>46</v>
      </c>
    </row>
    <row r="222" spans="1:14" x14ac:dyDescent="0.3">
      <c r="A222" s="8">
        <v>10221</v>
      </c>
      <c r="B222" s="9">
        <v>46016</v>
      </c>
      <c r="C222" s="10" t="s">
        <v>17</v>
      </c>
      <c r="D222" s="10" t="s">
        <v>18</v>
      </c>
      <c r="E222" s="10" t="s">
        <v>19</v>
      </c>
      <c r="F222" s="10" t="s">
        <v>255</v>
      </c>
      <c r="G222" s="10" t="s">
        <v>31</v>
      </c>
      <c r="H222" s="10">
        <v>19</v>
      </c>
      <c r="I222" s="10">
        <v>540.30999999999995</v>
      </c>
      <c r="J222" s="10">
        <v>10265.89</v>
      </c>
      <c r="K222" s="10">
        <v>7062.04</v>
      </c>
      <c r="L222" s="10">
        <v>3203.85</v>
      </c>
      <c r="M222" s="10" t="s">
        <v>15</v>
      </c>
      <c r="N222" s="11" t="s">
        <v>40</v>
      </c>
    </row>
    <row r="223" spans="1:14" x14ac:dyDescent="0.3">
      <c r="A223" s="12">
        <v>10222</v>
      </c>
      <c r="B223" s="13">
        <v>45734</v>
      </c>
      <c r="C223" s="14" t="s">
        <v>23</v>
      </c>
      <c r="D223" s="14" t="s">
        <v>18</v>
      </c>
      <c r="E223" s="14" t="s">
        <v>29</v>
      </c>
      <c r="F223" s="14" t="s">
        <v>256</v>
      </c>
      <c r="G223" s="14" t="s">
        <v>51</v>
      </c>
      <c r="H223" s="14">
        <v>5</v>
      </c>
      <c r="I223" s="14">
        <v>353.64</v>
      </c>
      <c r="J223" s="14">
        <v>1768.2</v>
      </c>
      <c r="K223" s="14">
        <v>1221.01</v>
      </c>
      <c r="L223" s="14">
        <v>547.19000000000005</v>
      </c>
      <c r="M223" s="14" t="s">
        <v>28</v>
      </c>
      <c r="N223" s="15" t="s">
        <v>16</v>
      </c>
    </row>
    <row r="224" spans="1:14" x14ac:dyDescent="0.3">
      <c r="A224" s="8">
        <v>10223</v>
      </c>
      <c r="B224" s="9">
        <v>45678</v>
      </c>
      <c r="C224" s="10" t="s">
        <v>23</v>
      </c>
      <c r="D224" s="10" t="s">
        <v>18</v>
      </c>
      <c r="E224" s="10" t="s">
        <v>35</v>
      </c>
      <c r="F224" s="10" t="s">
        <v>257</v>
      </c>
      <c r="G224" s="10" t="s">
        <v>31</v>
      </c>
      <c r="H224" s="10">
        <v>1</v>
      </c>
      <c r="I224" s="10">
        <v>371.23</v>
      </c>
      <c r="J224" s="10">
        <v>371.23</v>
      </c>
      <c r="K224" s="10">
        <v>212.32</v>
      </c>
      <c r="L224" s="10">
        <v>158.91</v>
      </c>
      <c r="M224" s="10" t="s">
        <v>22</v>
      </c>
      <c r="N224" s="11" t="s">
        <v>40</v>
      </c>
    </row>
    <row r="225" spans="1:14" x14ac:dyDescent="0.3">
      <c r="A225" s="12">
        <v>10224</v>
      </c>
      <c r="B225" s="13">
        <v>45953</v>
      </c>
      <c r="C225" s="14" t="s">
        <v>10</v>
      </c>
      <c r="D225" s="14" t="s">
        <v>32</v>
      </c>
      <c r="E225" s="14" t="s">
        <v>69</v>
      </c>
      <c r="F225" s="14" t="s">
        <v>258</v>
      </c>
      <c r="G225" s="14" t="s">
        <v>51</v>
      </c>
      <c r="H225" s="14">
        <v>17</v>
      </c>
      <c r="I225" s="14">
        <v>899.6</v>
      </c>
      <c r="J225" s="14">
        <v>15293.2</v>
      </c>
      <c r="K225" s="14">
        <v>9561.31</v>
      </c>
      <c r="L225" s="14">
        <v>5731.89</v>
      </c>
      <c r="M225" s="14" t="s">
        <v>22</v>
      </c>
      <c r="N225" s="15" t="s">
        <v>40</v>
      </c>
    </row>
    <row r="226" spans="1:14" x14ac:dyDescent="0.3">
      <c r="A226" s="8">
        <v>10225</v>
      </c>
      <c r="B226" s="9">
        <v>45762</v>
      </c>
      <c r="C226" s="10" t="s">
        <v>41</v>
      </c>
      <c r="D226" s="10" t="s">
        <v>18</v>
      </c>
      <c r="E226" s="10" t="s">
        <v>35</v>
      </c>
      <c r="F226" s="10" t="s">
        <v>259</v>
      </c>
      <c r="G226" s="10" t="s">
        <v>25</v>
      </c>
      <c r="H226" s="10">
        <v>9</v>
      </c>
      <c r="I226" s="10">
        <v>165.76</v>
      </c>
      <c r="J226" s="10">
        <v>1491.84</v>
      </c>
      <c r="K226" s="10">
        <v>1311.3</v>
      </c>
      <c r="L226" s="10">
        <v>180.54</v>
      </c>
      <c r="M226" s="10" t="s">
        <v>22</v>
      </c>
      <c r="N226" s="11" t="s">
        <v>16</v>
      </c>
    </row>
    <row r="227" spans="1:14" x14ac:dyDescent="0.3">
      <c r="A227" s="12">
        <v>10226</v>
      </c>
      <c r="B227" s="13">
        <v>45867</v>
      </c>
      <c r="C227" s="14" t="s">
        <v>41</v>
      </c>
      <c r="D227" s="14" t="s">
        <v>11</v>
      </c>
      <c r="E227" s="14" t="s">
        <v>38</v>
      </c>
      <c r="F227" s="14" t="s">
        <v>260</v>
      </c>
      <c r="G227" s="14" t="s">
        <v>31</v>
      </c>
      <c r="H227" s="14">
        <v>2</v>
      </c>
      <c r="I227" s="14">
        <v>648.01</v>
      </c>
      <c r="J227" s="14">
        <v>1296.02</v>
      </c>
      <c r="K227" s="14">
        <v>667.74</v>
      </c>
      <c r="L227" s="14">
        <v>628.28</v>
      </c>
      <c r="M227" s="14" t="s">
        <v>15</v>
      </c>
      <c r="N227" s="15" t="s">
        <v>40</v>
      </c>
    </row>
    <row r="228" spans="1:14" x14ac:dyDescent="0.3">
      <c r="A228" s="8">
        <v>10227</v>
      </c>
      <c r="B228" s="9">
        <v>46020</v>
      </c>
      <c r="C228" s="10" t="s">
        <v>41</v>
      </c>
      <c r="D228" s="10" t="s">
        <v>18</v>
      </c>
      <c r="E228" s="10" t="s">
        <v>19</v>
      </c>
      <c r="F228" s="10" t="s">
        <v>261</v>
      </c>
      <c r="G228" s="10" t="s">
        <v>37</v>
      </c>
      <c r="H228" s="10">
        <v>11</v>
      </c>
      <c r="I228" s="10">
        <v>894.85</v>
      </c>
      <c r="J228" s="10">
        <v>9843.35</v>
      </c>
      <c r="K228" s="10">
        <v>7182.89</v>
      </c>
      <c r="L228" s="10">
        <v>2660.46</v>
      </c>
      <c r="M228" s="10" t="s">
        <v>28</v>
      </c>
      <c r="N228" s="11" t="s">
        <v>16</v>
      </c>
    </row>
    <row r="229" spans="1:14" x14ac:dyDescent="0.3">
      <c r="A229" s="12">
        <v>10228</v>
      </c>
      <c r="B229" s="13">
        <v>45664</v>
      </c>
      <c r="C229" s="14" t="s">
        <v>17</v>
      </c>
      <c r="D229" s="14" t="s">
        <v>32</v>
      </c>
      <c r="E229" s="14" t="s">
        <v>69</v>
      </c>
      <c r="F229" s="14" t="s">
        <v>262</v>
      </c>
      <c r="G229" s="14" t="s">
        <v>31</v>
      </c>
      <c r="H229" s="14">
        <v>9</v>
      </c>
      <c r="I229" s="14">
        <v>725.85</v>
      </c>
      <c r="J229" s="14">
        <v>6532.65</v>
      </c>
      <c r="K229" s="14">
        <v>4860.67</v>
      </c>
      <c r="L229" s="14">
        <v>1671.98</v>
      </c>
      <c r="M229" s="14" t="s">
        <v>15</v>
      </c>
      <c r="N229" s="15" t="s">
        <v>16</v>
      </c>
    </row>
    <row r="230" spans="1:14" x14ac:dyDescent="0.3">
      <c r="A230" s="8">
        <v>10229</v>
      </c>
      <c r="B230" s="9">
        <v>45991</v>
      </c>
      <c r="C230" s="10" t="s">
        <v>10</v>
      </c>
      <c r="D230" s="10" t="s">
        <v>18</v>
      </c>
      <c r="E230" s="10" t="s">
        <v>35</v>
      </c>
      <c r="F230" s="10" t="s">
        <v>263</v>
      </c>
      <c r="G230" s="10" t="s">
        <v>51</v>
      </c>
      <c r="H230" s="10">
        <v>8</v>
      </c>
      <c r="I230" s="10">
        <v>467.49</v>
      </c>
      <c r="J230" s="10">
        <v>3739.92</v>
      </c>
      <c r="K230" s="10">
        <v>2793.04</v>
      </c>
      <c r="L230" s="10">
        <v>946.88</v>
      </c>
      <c r="M230" s="10" t="s">
        <v>22</v>
      </c>
      <c r="N230" s="11" t="s">
        <v>16</v>
      </c>
    </row>
    <row r="231" spans="1:14" x14ac:dyDescent="0.3">
      <c r="A231" s="12">
        <v>10230</v>
      </c>
      <c r="B231" s="13">
        <v>45964</v>
      </c>
      <c r="C231" s="14" t="s">
        <v>23</v>
      </c>
      <c r="D231" s="14" t="s">
        <v>11</v>
      </c>
      <c r="E231" s="14" t="s">
        <v>12</v>
      </c>
      <c r="F231" s="14" t="s">
        <v>264</v>
      </c>
      <c r="G231" s="14" t="s">
        <v>21</v>
      </c>
      <c r="H231" s="14">
        <v>16</v>
      </c>
      <c r="I231" s="14">
        <v>1239.47</v>
      </c>
      <c r="J231" s="14">
        <v>19831.52</v>
      </c>
      <c r="K231" s="14">
        <v>13064.91</v>
      </c>
      <c r="L231" s="14">
        <v>6766.61</v>
      </c>
      <c r="M231" s="14" t="s">
        <v>22</v>
      </c>
      <c r="N231" s="15" t="s">
        <v>46</v>
      </c>
    </row>
    <row r="232" spans="1:14" x14ac:dyDescent="0.3">
      <c r="A232" s="8">
        <v>10231</v>
      </c>
      <c r="B232" s="9">
        <v>45668</v>
      </c>
      <c r="C232" s="10" t="s">
        <v>17</v>
      </c>
      <c r="D232" s="10" t="s">
        <v>11</v>
      </c>
      <c r="E232" s="10" t="s">
        <v>12</v>
      </c>
      <c r="F232" s="10" t="s">
        <v>265</v>
      </c>
      <c r="G232" s="10" t="s">
        <v>25</v>
      </c>
      <c r="H232" s="10">
        <v>6</v>
      </c>
      <c r="I232" s="10">
        <v>785.25</v>
      </c>
      <c r="J232" s="10">
        <v>4711.5</v>
      </c>
      <c r="K232" s="10">
        <v>2839.8</v>
      </c>
      <c r="L232" s="10">
        <v>1871.7</v>
      </c>
      <c r="M232" s="10" t="s">
        <v>28</v>
      </c>
      <c r="N232" s="11" t="s">
        <v>16</v>
      </c>
    </row>
    <row r="233" spans="1:14" x14ac:dyDescent="0.3">
      <c r="A233" s="12">
        <v>10232</v>
      </c>
      <c r="B233" s="13">
        <v>45685</v>
      </c>
      <c r="C233" s="14" t="s">
        <v>17</v>
      </c>
      <c r="D233" s="14" t="s">
        <v>32</v>
      </c>
      <c r="E233" s="14" t="s">
        <v>69</v>
      </c>
      <c r="F233" s="14" t="s">
        <v>266</v>
      </c>
      <c r="G233" s="14" t="s">
        <v>14</v>
      </c>
      <c r="H233" s="14">
        <v>17</v>
      </c>
      <c r="I233" s="14">
        <v>1265.2</v>
      </c>
      <c r="J233" s="14">
        <v>21508.400000000001</v>
      </c>
      <c r="K233" s="14">
        <v>15306.38</v>
      </c>
      <c r="L233" s="14">
        <v>6202.02</v>
      </c>
      <c r="M233" s="14" t="s">
        <v>28</v>
      </c>
      <c r="N233" s="15" t="s">
        <v>16</v>
      </c>
    </row>
    <row r="234" spans="1:14" x14ac:dyDescent="0.3">
      <c r="A234" s="8">
        <v>10233</v>
      </c>
      <c r="B234" s="9">
        <v>45926</v>
      </c>
      <c r="C234" s="10" t="s">
        <v>41</v>
      </c>
      <c r="D234" s="10" t="s">
        <v>11</v>
      </c>
      <c r="E234" s="10" t="s">
        <v>12</v>
      </c>
      <c r="F234" s="10" t="s">
        <v>267</v>
      </c>
      <c r="G234" s="10" t="s">
        <v>37</v>
      </c>
      <c r="H234" s="10">
        <v>5</v>
      </c>
      <c r="I234" s="10">
        <v>381.2</v>
      </c>
      <c r="J234" s="10">
        <v>1906</v>
      </c>
      <c r="K234" s="10">
        <v>1304.45</v>
      </c>
      <c r="L234" s="10">
        <v>601.54999999999995</v>
      </c>
      <c r="M234" s="10" t="s">
        <v>15</v>
      </c>
      <c r="N234" s="11" t="s">
        <v>40</v>
      </c>
    </row>
    <row r="235" spans="1:14" x14ac:dyDescent="0.3">
      <c r="A235" s="12">
        <v>10234</v>
      </c>
      <c r="B235" s="13">
        <v>45800</v>
      </c>
      <c r="C235" s="14" t="s">
        <v>23</v>
      </c>
      <c r="D235" s="14" t="s">
        <v>11</v>
      </c>
      <c r="E235" s="14" t="s">
        <v>52</v>
      </c>
      <c r="F235" s="14" t="s">
        <v>268</v>
      </c>
      <c r="G235" s="14" t="s">
        <v>37</v>
      </c>
      <c r="H235" s="14">
        <v>1</v>
      </c>
      <c r="I235" s="14">
        <v>958.37</v>
      </c>
      <c r="J235" s="14">
        <v>958.37</v>
      </c>
      <c r="K235" s="14">
        <v>815.64</v>
      </c>
      <c r="L235" s="14">
        <v>142.72999999999999</v>
      </c>
      <c r="M235" s="14" t="s">
        <v>15</v>
      </c>
      <c r="N235" s="15" t="s">
        <v>46</v>
      </c>
    </row>
    <row r="236" spans="1:14" x14ac:dyDescent="0.3">
      <c r="A236" s="8">
        <v>10235</v>
      </c>
      <c r="B236" s="9">
        <v>45763</v>
      </c>
      <c r="C236" s="10" t="s">
        <v>10</v>
      </c>
      <c r="D236" s="10" t="s">
        <v>18</v>
      </c>
      <c r="E236" s="10" t="s">
        <v>29</v>
      </c>
      <c r="F236" s="10" t="s">
        <v>269</v>
      </c>
      <c r="G236" s="10" t="s">
        <v>25</v>
      </c>
      <c r="H236" s="10">
        <v>8</v>
      </c>
      <c r="I236" s="10">
        <v>1274.58</v>
      </c>
      <c r="J236" s="10">
        <v>10196.64</v>
      </c>
      <c r="K236" s="10">
        <v>5834.12</v>
      </c>
      <c r="L236" s="10">
        <v>4362.5200000000004</v>
      </c>
      <c r="M236" s="10" t="s">
        <v>15</v>
      </c>
      <c r="N236" s="11" t="s">
        <v>46</v>
      </c>
    </row>
    <row r="237" spans="1:14" x14ac:dyDescent="0.3">
      <c r="A237" s="12">
        <v>10236</v>
      </c>
      <c r="B237" s="13">
        <v>45673</v>
      </c>
      <c r="C237" s="14" t="s">
        <v>10</v>
      </c>
      <c r="D237" s="14" t="s">
        <v>18</v>
      </c>
      <c r="E237" s="14" t="s">
        <v>29</v>
      </c>
      <c r="F237" s="14" t="s">
        <v>270</v>
      </c>
      <c r="G237" s="14" t="s">
        <v>25</v>
      </c>
      <c r="H237" s="14">
        <v>5</v>
      </c>
      <c r="I237" s="14">
        <v>397.8</v>
      </c>
      <c r="J237" s="14">
        <v>1989</v>
      </c>
      <c r="K237" s="14">
        <v>1378.58</v>
      </c>
      <c r="L237" s="14">
        <v>610.41999999999996</v>
      </c>
      <c r="M237" s="14" t="s">
        <v>22</v>
      </c>
      <c r="N237" s="15" t="s">
        <v>26</v>
      </c>
    </row>
    <row r="238" spans="1:14" x14ac:dyDescent="0.3">
      <c r="A238" s="8">
        <v>10237</v>
      </c>
      <c r="B238" s="9">
        <v>45908</v>
      </c>
      <c r="C238" s="10" t="s">
        <v>41</v>
      </c>
      <c r="D238" s="10" t="s">
        <v>11</v>
      </c>
      <c r="E238" s="10" t="s">
        <v>52</v>
      </c>
      <c r="F238" s="10" t="s">
        <v>271</v>
      </c>
      <c r="G238" s="10" t="s">
        <v>21</v>
      </c>
      <c r="H238" s="10">
        <v>17</v>
      </c>
      <c r="I238" s="10">
        <v>117.67</v>
      </c>
      <c r="J238" s="10">
        <v>2000.39</v>
      </c>
      <c r="K238" s="10">
        <v>1439.87</v>
      </c>
      <c r="L238" s="10">
        <v>560.52</v>
      </c>
      <c r="M238" s="10" t="s">
        <v>28</v>
      </c>
      <c r="N238" s="11" t="s">
        <v>26</v>
      </c>
    </row>
    <row r="239" spans="1:14" x14ac:dyDescent="0.3">
      <c r="A239" s="12">
        <v>10238</v>
      </c>
      <c r="B239" s="13">
        <v>46014</v>
      </c>
      <c r="C239" s="14" t="s">
        <v>17</v>
      </c>
      <c r="D239" s="14" t="s">
        <v>18</v>
      </c>
      <c r="E239" s="14" t="s">
        <v>29</v>
      </c>
      <c r="F239" s="14" t="s">
        <v>272</v>
      </c>
      <c r="G239" s="14" t="s">
        <v>37</v>
      </c>
      <c r="H239" s="14">
        <v>8</v>
      </c>
      <c r="I239" s="14">
        <v>1247.3900000000001</v>
      </c>
      <c r="J239" s="14">
        <v>9979.1200000000008</v>
      </c>
      <c r="K239" s="14">
        <v>5471.58</v>
      </c>
      <c r="L239" s="14">
        <v>4507.54</v>
      </c>
      <c r="M239" s="14" t="s">
        <v>15</v>
      </c>
      <c r="N239" s="15" t="s">
        <v>26</v>
      </c>
    </row>
    <row r="240" spans="1:14" x14ac:dyDescent="0.3">
      <c r="A240" s="8">
        <v>10239</v>
      </c>
      <c r="B240" s="9">
        <v>45737</v>
      </c>
      <c r="C240" s="10" t="s">
        <v>41</v>
      </c>
      <c r="D240" s="10" t="s">
        <v>18</v>
      </c>
      <c r="E240" s="10" t="s">
        <v>19</v>
      </c>
      <c r="F240" s="10" t="s">
        <v>273</v>
      </c>
      <c r="G240" s="10" t="s">
        <v>37</v>
      </c>
      <c r="H240" s="10">
        <v>12</v>
      </c>
      <c r="I240" s="10">
        <v>60.46</v>
      </c>
      <c r="J240" s="10">
        <v>725.52</v>
      </c>
      <c r="K240" s="10">
        <v>588.72</v>
      </c>
      <c r="L240" s="10">
        <v>136.80000000000001</v>
      </c>
      <c r="M240" s="10" t="s">
        <v>15</v>
      </c>
      <c r="N240" s="11" t="s">
        <v>16</v>
      </c>
    </row>
    <row r="241" spans="1:14" x14ac:dyDescent="0.3">
      <c r="A241" s="12">
        <v>10240</v>
      </c>
      <c r="B241" s="13">
        <v>45770</v>
      </c>
      <c r="C241" s="14" t="s">
        <v>10</v>
      </c>
      <c r="D241" s="14" t="s">
        <v>32</v>
      </c>
      <c r="E241" s="14" t="s">
        <v>69</v>
      </c>
      <c r="F241" s="14" t="s">
        <v>274</v>
      </c>
      <c r="G241" s="14" t="s">
        <v>37</v>
      </c>
      <c r="H241" s="14">
        <v>16</v>
      </c>
      <c r="I241" s="14">
        <v>632.42999999999995</v>
      </c>
      <c r="J241" s="14">
        <v>10118.879999999999</v>
      </c>
      <c r="K241" s="14">
        <v>6841.14</v>
      </c>
      <c r="L241" s="14">
        <v>3277.74</v>
      </c>
      <c r="M241" s="14" t="s">
        <v>22</v>
      </c>
      <c r="N241" s="15" t="s">
        <v>26</v>
      </c>
    </row>
    <row r="242" spans="1:14" x14ac:dyDescent="0.3">
      <c r="A242" s="8">
        <v>10241</v>
      </c>
      <c r="B242" s="9">
        <v>45912</v>
      </c>
      <c r="C242" s="10" t="s">
        <v>10</v>
      </c>
      <c r="D242" s="10" t="s">
        <v>11</v>
      </c>
      <c r="E242" s="10" t="s">
        <v>52</v>
      </c>
      <c r="F242" s="10" t="s">
        <v>275</v>
      </c>
      <c r="G242" s="10" t="s">
        <v>14</v>
      </c>
      <c r="H242" s="10">
        <v>5</v>
      </c>
      <c r="I242" s="10">
        <v>1403.35</v>
      </c>
      <c r="J242" s="10">
        <v>7016.75</v>
      </c>
      <c r="K242" s="10">
        <v>3629.43</v>
      </c>
      <c r="L242" s="10">
        <v>3387.32</v>
      </c>
      <c r="M242" s="10" t="s">
        <v>22</v>
      </c>
      <c r="N242" s="11" t="s">
        <v>26</v>
      </c>
    </row>
    <row r="243" spans="1:14" x14ac:dyDescent="0.3">
      <c r="A243" s="12">
        <v>10242</v>
      </c>
      <c r="B243" s="13">
        <v>45941</v>
      </c>
      <c r="C243" s="14" t="s">
        <v>10</v>
      </c>
      <c r="D243" s="14" t="s">
        <v>18</v>
      </c>
      <c r="E243" s="14" t="s">
        <v>35</v>
      </c>
      <c r="F243" s="14" t="s">
        <v>276</v>
      </c>
      <c r="G243" s="14" t="s">
        <v>25</v>
      </c>
      <c r="H243" s="14">
        <v>9</v>
      </c>
      <c r="I243" s="14">
        <v>787.35</v>
      </c>
      <c r="J243" s="14">
        <v>7086.15</v>
      </c>
      <c r="K243" s="14">
        <v>5143.16</v>
      </c>
      <c r="L243" s="14">
        <v>1942.99</v>
      </c>
      <c r="M243" s="14" t="s">
        <v>28</v>
      </c>
      <c r="N243" s="15" t="s">
        <v>26</v>
      </c>
    </row>
    <row r="244" spans="1:14" x14ac:dyDescent="0.3">
      <c r="A244" s="8">
        <v>10243</v>
      </c>
      <c r="B244" s="9">
        <v>45789</v>
      </c>
      <c r="C244" s="10" t="s">
        <v>23</v>
      </c>
      <c r="D244" s="10" t="s">
        <v>18</v>
      </c>
      <c r="E244" s="10" t="s">
        <v>35</v>
      </c>
      <c r="F244" s="10" t="s">
        <v>277</v>
      </c>
      <c r="G244" s="10" t="s">
        <v>51</v>
      </c>
      <c r="H244" s="10">
        <v>2</v>
      </c>
      <c r="I244" s="10">
        <v>98.07</v>
      </c>
      <c r="J244" s="10">
        <v>196.14</v>
      </c>
      <c r="K244" s="10">
        <v>134.38999999999999</v>
      </c>
      <c r="L244" s="10">
        <v>61.75</v>
      </c>
      <c r="M244" s="10" t="s">
        <v>15</v>
      </c>
      <c r="N244" s="11" t="s">
        <v>16</v>
      </c>
    </row>
    <row r="245" spans="1:14" x14ac:dyDescent="0.3">
      <c r="A245" s="12">
        <v>10244</v>
      </c>
      <c r="B245" s="13">
        <v>45911</v>
      </c>
      <c r="C245" s="14" t="s">
        <v>23</v>
      </c>
      <c r="D245" s="14" t="s">
        <v>11</v>
      </c>
      <c r="E245" s="14" t="s">
        <v>52</v>
      </c>
      <c r="F245" s="14" t="s">
        <v>278</v>
      </c>
      <c r="G245" s="14" t="s">
        <v>21</v>
      </c>
      <c r="H245" s="14">
        <v>6</v>
      </c>
      <c r="I245" s="14">
        <v>1413.07</v>
      </c>
      <c r="J245" s="14">
        <v>8478.42</v>
      </c>
      <c r="K245" s="14">
        <v>5934.08</v>
      </c>
      <c r="L245" s="14">
        <v>2544.34</v>
      </c>
      <c r="M245" s="14" t="s">
        <v>28</v>
      </c>
      <c r="N245" s="15" t="s">
        <v>26</v>
      </c>
    </row>
    <row r="246" spans="1:14" x14ac:dyDescent="0.3">
      <c r="A246" s="8">
        <v>10245</v>
      </c>
      <c r="B246" s="9">
        <v>45785</v>
      </c>
      <c r="C246" s="10" t="s">
        <v>10</v>
      </c>
      <c r="D246" s="10" t="s">
        <v>32</v>
      </c>
      <c r="E246" s="10" t="s">
        <v>33</v>
      </c>
      <c r="F246" s="10" t="s">
        <v>279</v>
      </c>
      <c r="G246" s="10" t="s">
        <v>37</v>
      </c>
      <c r="H246" s="10">
        <v>17</v>
      </c>
      <c r="I246" s="10">
        <v>435.55</v>
      </c>
      <c r="J246" s="10">
        <v>7404.35</v>
      </c>
      <c r="K246" s="10">
        <v>4055.04</v>
      </c>
      <c r="L246" s="10">
        <v>3349.31</v>
      </c>
      <c r="M246" s="10" t="s">
        <v>22</v>
      </c>
      <c r="N246" s="11" t="s">
        <v>40</v>
      </c>
    </row>
    <row r="247" spans="1:14" x14ac:dyDescent="0.3">
      <c r="A247" s="12">
        <v>10246</v>
      </c>
      <c r="B247" s="13">
        <v>45677</v>
      </c>
      <c r="C247" s="14" t="s">
        <v>41</v>
      </c>
      <c r="D247" s="14" t="s">
        <v>11</v>
      </c>
      <c r="E247" s="14" t="s">
        <v>52</v>
      </c>
      <c r="F247" s="14" t="s">
        <v>280</v>
      </c>
      <c r="G247" s="14" t="s">
        <v>25</v>
      </c>
      <c r="H247" s="14">
        <v>19</v>
      </c>
      <c r="I247" s="14">
        <v>844.25</v>
      </c>
      <c r="J247" s="14">
        <v>16040.75</v>
      </c>
      <c r="K247" s="14">
        <v>10002.629999999999</v>
      </c>
      <c r="L247" s="14">
        <v>6038.12</v>
      </c>
      <c r="M247" s="14" t="s">
        <v>28</v>
      </c>
      <c r="N247" s="15" t="s">
        <v>16</v>
      </c>
    </row>
    <row r="248" spans="1:14" x14ac:dyDescent="0.3">
      <c r="A248" s="8">
        <v>10247</v>
      </c>
      <c r="B248" s="9">
        <v>45784</v>
      </c>
      <c r="C248" s="10" t="s">
        <v>17</v>
      </c>
      <c r="D248" s="10" t="s">
        <v>18</v>
      </c>
      <c r="E248" s="10" t="s">
        <v>35</v>
      </c>
      <c r="F248" s="10" t="s">
        <v>281</v>
      </c>
      <c r="G248" s="10" t="s">
        <v>51</v>
      </c>
      <c r="H248" s="10">
        <v>5</v>
      </c>
      <c r="I248" s="10">
        <v>324.10000000000002</v>
      </c>
      <c r="J248" s="10">
        <v>1620.5</v>
      </c>
      <c r="K248" s="10">
        <v>904.77</v>
      </c>
      <c r="L248" s="10">
        <v>715.73</v>
      </c>
      <c r="M248" s="10" t="s">
        <v>22</v>
      </c>
      <c r="N248" s="11" t="s">
        <v>46</v>
      </c>
    </row>
    <row r="249" spans="1:14" x14ac:dyDescent="0.3">
      <c r="A249" s="12">
        <v>10248</v>
      </c>
      <c r="B249" s="13">
        <v>45772</v>
      </c>
      <c r="C249" s="14" t="s">
        <v>41</v>
      </c>
      <c r="D249" s="14" t="s">
        <v>32</v>
      </c>
      <c r="E249" s="14" t="s">
        <v>49</v>
      </c>
      <c r="F249" s="14" t="s">
        <v>282</v>
      </c>
      <c r="G249" s="14" t="s">
        <v>21</v>
      </c>
      <c r="H249" s="14">
        <v>20</v>
      </c>
      <c r="I249" s="14">
        <v>406.99</v>
      </c>
      <c r="J249" s="14">
        <v>8139.8</v>
      </c>
      <c r="K249" s="14">
        <v>4968</v>
      </c>
      <c r="L249" s="14">
        <v>3171.8</v>
      </c>
      <c r="M249" s="14" t="s">
        <v>22</v>
      </c>
      <c r="N249" s="15" t="s">
        <v>40</v>
      </c>
    </row>
    <row r="250" spans="1:14" x14ac:dyDescent="0.3">
      <c r="A250" s="8">
        <v>10249</v>
      </c>
      <c r="B250" s="9">
        <v>45875</v>
      </c>
      <c r="C250" s="10" t="s">
        <v>41</v>
      </c>
      <c r="D250" s="10" t="s">
        <v>32</v>
      </c>
      <c r="E250" s="10" t="s">
        <v>69</v>
      </c>
      <c r="F250" s="10" t="s">
        <v>283</v>
      </c>
      <c r="G250" s="10" t="s">
        <v>14</v>
      </c>
      <c r="H250" s="10">
        <v>8</v>
      </c>
      <c r="I250" s="10">
        <v>1428.83</v>
      </c>
      <c r="J250" s="10">
        <v>11430.64</v>
      </c>
      <c r="K250" s="10">
        <v>9103.51</v>
      </c>
      <c r="L250" s="10">
        <v>2327.13</v>
      </c>
      <c r="M250" s="10" t="s">
        <v>28</v>
      </c>
      <c r="N250" s="11" t="s">
        <v>40</v>
      </c>
    </row>
    <row r="251" spans="1:14" x14ac:dyDescent="0.3">
      <c r="A251" s="12">
        <v>10250</v>
      </c>
      <c r="B251" s="13">
        <v>45919</v>
      </c>
      <c r="C251" s="14" t="s">
        <v>10</v>
      </c>
      <c r="D251" s="14" t="s">
        <v>32</v>
      </c>
      <c r="E251" s="14" t="s">
        <v>69</v>
      </c>
      <c r="F251" s="14" t="s">
        <v>284</v>
      </c>
      <c r="G251" s="14" t="s">
        <v>14</v>
      </c>
      <c r="H251" s="14">
        <v>5</v>
      </c>
      <c r="I251" s="14">
        <v>977.05</v>
      </c>
      <c r="J251" s="14">
        <v>4885.25</v>
      </c>
      <c r="K251" s="14">
        <v>4389.3999999999996</v>
      </c>
      <c r="L251" s="14">
        <v>495.85</v>
      </c>
      <c r="M251" s="14" t="s">
        <v>22</v>
      </c>
      <c r="N251" s="15" t="s">
        <v>26</v>
      </c>
    </row>
    <row r="252" spans="1:14" x14ac:dyDescent="0.3">
      <c r="A252" s="8">
        <v>10251</v>
      </c>
      <c r="B252" s="9">
        <v>45703</v>
      </c>
      <c r="C252" s="10" t="s">
        <v>41</v>
      </c>
      <c r="D252" s="10" t="s">
        <v>18</v>
      </c>
      <c r="E252" s="10" t="s">
        <v>35</v>
      </c>
      <c r="F252" s="10" t="s">
        <v>285</v>
      </c>
      <c r="G252" s="10" t="s">
        <v>14</v>
      </c>
      <c r="H252" s="10">
        <v>6</v>
      </c>
      <c r="I252" s="10">
        <v>149.02000000000001</v>
      </c>
      <c r="J252" s="10">
        <v>894.12</v>
      </c>
      <c r="K252" s="10">
        <v>684.78</v>
      </c>
      <c r="L252" s="10">
        <v>209.34</v>
      </c>
      <c r="M252" s="10" t="s">
        <v>22</v>
      </c>
      <c r="N252" s="11" t="s">
        <v>46</v>
      </c>
    </row>
    <row r="253" spans="1:14" x14ac:dyDescent="0.3">
      <c r="A253" s="12">
        <v>10252</v>
      </c>
      <c r="B253" s="13">
        <v>45824</v>
      </c>
      <c r="C253" s="14" t="s">
        <v>23</v>
      </c>
      <c r="D253" s="14" t="s">
        <v>32</v>
      </c>
      <c r="E253" s="14" t="s">
        <v>69</v>
      </c>
      <c r="F253" s="14" t="s">
        <v>286</v>
      </c>
      <c r="G253" s="14" t="s">
        <v>14</v>
      </c>
      <c r="H253" s="14">
        <v>4</v>
      </c>
      <c r="I253" s="14">
        <v>652.27</v>
      </c>
      <c r="J253" s="14">
        <v>2609.08</v>
      </c>
      <c r="K253" s="14">
        <v>1326.53</v>
      </c>
      <c r="L253" s="14">
        <v>1282.55</v>
      </c>
      <c r="M253" s="14" t="s">
        <v>22</v>
      </c>
      <c r="N253" s="15" t="s">
        <v>40</v>
      </c>
    </row>
    <row r="254" spans="1:14" x14ac:dyDescent="0.3">
      <c r="A254" s="8">
        <v>10253</v>
      </c>
      <c r="B254" s="9">
        <v>45977</v>
      </c>
      <c r="C254" s="10" t="s">
        <v>10</v>
      </c>
      <c r="D254" s="10" t="s">
        <v>18</v>
      </c>
      <c r="E254" s="10" t="s">
        <v>19</v>
      </c>
      <c r="F254" s="10" t="s">
        <v>287</v>
      </c>
      <c r="G254" s="10" t="s">
        <v>21</v>
      </c>
      <c r="H254" s="10">
        <v>11</v>
      </c>
      <c r="I254" s="10">
        <v>96.33</v>
      </c>
      <c r="J254" s="10">
        <v>1059.6300000000001</v>
      </c>
      <c r="K254" s="10">
        <v>749.96</v>
      </c>
      <c r="L254" s="10">
        <v>309.67</v>
      </c>
      <c r="M254" s="10" t="s">
        <v>28</v>
      </c>
      <c r="N254" s="11" t="s">
        <v>26</v>
      </c>
    </row>
    <row r="255" spans="1:14" x14ac:dyDescent="0.3">
      <c r="A255" s="12">
        <v>10254</v>
      </c>
      <c r="B255" s="13">
        <v>45373</v>
      </c>
      <c r="C255" s="14" t="s">
        <v>23</v>
      </c>
      <c r="D255" s="14" t="s">
        <v>11</v>
      </c>
      <c r="E255" s="14" t="s">
        <v>52</v>
      </c>
      <c r="F255" s="14" t="s">
        <v>288</v>
      </c>
      <c r="G255" s="14" t="s">
        <v>51</v>
      </c>
      <c r="H255" s="14">
        <v>19</v>
      </c>
      <c r="I255" s="14">
        <v>1032.02</v>
      </c>
      <c r="J255" s="14">
        <v>19608.38</v>
      </c>
      <c r="K255" s="14">
        <v>10485.58</v>
      </c>
      <c r="L255" s="14">
        <v>9122.7999999999993</v>
      </c>
      <c r="M255" s="14" t="s">
        <v>22</v>
      </c>
      <c r="N255" s="15" t="s">
        <v>26</v>
      </c>
    </row>
    <row r="256" spans="1:14" x14ac:dyDescent="0.3">
      <c r="A256" s="8">
        <v>10255</v>
      </c>
      <c r="B256" s="9">
        <v>45996</v>
      </c>
      <c r="C256" s="10" t="s">
        <v>23</v>
      </c>
      <c r="D256" s="10" t="s">
        <v>18</v>
      </c>
      <c r="E256" s="10" t="s">
        <v>29</v>
      </c>
      <c r="F256" s="10" t="s">
        <v>289</v>
      </c>
      <c r="G256" s="10" t="s">
        <v>31</v>
      </c>
      <c r="H256" s="10">
        <v>8</v>
      </c>
      <c r="I256" s="10">
        <v>1018.58</v>
      </c>
      <c r="J256" s="10">
        <v>8148.64</v>
      </c>
      <c r="K256" s="10">
        <v>5131.63</v>
      </c>
      <c r="L256" s="10">
        <v>3017.01</v>
      </c>
      <c r="M256" s="10" t="s">
        <v>28</v>
      </c>
      <c r="N256" s="11" t="s">
        <v>26</v>
      </c>
    </row>
    <row r="257" spans="1:14" x14ac:dyDescent="0.3">
      <c r="A257" s="12">
        <v>10256</v>
      </c>
      <c r="B257" s="13">
        <v>45738</v>
      </c>
      <c r="C257" s="14" t="s">
        <v>41</v>
      </c>
      <c r="D257" s="14" t="s">
        <v>11</v>
      </c>
      <c r="E257" s="14" t="s">
        <v>38</v>
      </c>
      <c r="F257" s="14" t="s">
        <v>290</v>
      </c>
      <c r="G257" s="14" t="s">
        <v>21</v>
      </c>
      <c r="H257" s="14">
        <v>14</v>
      </c>
      <c r="I257" s="14">
        <v>1269.97</v>
      </c>
      <c r="J257" s="14">
        <v>17779.580000000002</v>
      </c>
      <c r="K257" s="14">
        <v>12425.33</v>
      </c>
      <c r="L257" s="14">
        <v>5354.25</v>
      </c>
      <c r="M257" s="14" t="s">
        <v>28</v>
      </c>
      <c r="N257" s="15" t="s">
        <v>40</v>
      </c>
    </row>
    <row r="258" spans="1:14" x14ac:dyDescent="0.3">
      <c r="A258" s="8">
        <v>10257</v>
      </c>
      <c r="B258" s="9">
        <v>45718</v>
      </c>
      <c r="C258" s="10" t="s">
        <v>23</v>
      </c>
      <c r="D258" s="10" t="s">
        <v>11</v>
      </c>
      <c r="E258" s="10" t="s">
        <v>38</v>
      </c>
      <c r="F258" s="10" t="s">
        <v>291</v>
      </c>
      <c r="G258" s="10" t="s">
        <v>21</v>
      </c>
      <c r="H258" s="10">
        <v>18</v>
      </c>
      <c r="I258" s="10">
        <v>958.98</v>
      </c>
      <c r="J258" s="10">
        <v>17261.64</v>
      </c>
      <c r="K258" s="10">
        <v>9799.82</v>
      </c>
      <c r="L258" s="10">
        <v>7461.82</v>
      </c>
      <c r="M258" s="10" t="s">
        <v>15</v>
      </c>
      <c r="N258" s="11" t="s">
        <v>16</v>
      </c>
    </row>
    <row r="259" spans="1:14" x14ac:dyDescent="0.3">
      <c r="A259" s="12">
        <v>10258</v>
      </c>
      <c r="B259" s="13">
        <v>45816</v>
      </c>
      <c r="C259" s="14" t="s">
        <v>10</v>
      </c>
      <c r="D259" s="14" t="s">
        <v>18</v>
      </c>
      <c r="E259" s="14" t="s">
        <v>29</v>
      </c>
      <c r="F259" s="14" t="s">
        <v>292</v>
      </c>
      <c r="G259" s="14" t="s">
        <v>25</v>
      </c>
      <c r="H259" s="14">
        <v>15</v>
      </c>
      <c r="I259" s="14">
        <v>323.89</v>
      </c>
      <c r="J259" s="14">
        <v>4858.3500000000004</v>
      </c>
      <c r="K259" s="14">
        <v>2680.7</v>
      </c>
      <c r="L259" s="14">
        <v>2177.65</v>
      </c>
      <c r="M259" s="14" t="s">
        <v>22</v>
      </c>
      <c r="N259" s="15" t="s">
        <v>40</v>
      </c>
    </row>
    <row r="260" spans="1:14" x14ac:dyDescent="0.3">
      <c r="A260" s="8">
        <v>10259</v>
      </c>
      <c r="B260" s="9">
        <v>45999</v>
      </c>
      <c r="C260" s="10" t="s">
        <v>23</v>
      </c>
      <c r="D260" s="10" t="s">
        <v>18</v>
      </c>
      <c r="E260" s="10" t="s">
        <v>29</v>
      </c>
      <c r="F260" s="10" t="s">
        <v>293</v>
      </c>
      <c r="G260" s="10" t="s">
        <v>37</v>
      </c>
      <c r="H260" s="10">
        <v>10</v>
      </c>
      <c r="I260" s="10">
        <v>319.33999999999997</v>
      </c>
      <c r="J260" s="10">
        <v>3193.4</v>
      </c>
      <c r="K260" s="10">
        <v>2214.42</v>
      </c>
      <c r="L260" s="10">
        <v>978.98</v>
      </c>
      <c r="M260" s="10" t="s">
        <v>22</v>
      </c>
      <c r="N260" s="11" t="s">
        <v>16</v>
      </c>
    </row>
    <row r="261" spans="1:14" x14ac:dyDescent="0.3">
      <c r="A261" s="12">
        <v>10260</v>
      </c>
      <c r="B261" s="13">
        <v>45771</v>
      </c>
      <c r="C261" s="14" t="s">
        <v>10</v>
      </c>
      <c r="D261" s="14" t="s">
        <v>11</v>
      </c>
      <c r="E261" s="14" t="s">
        <v>52</v>
      </c>
      <c r="F261" s="14" t="s">
        <v>294</v>
      </c>
      <c r="G261" s="14" t="s">
        <v>25</v>
      </c>
      <c r="H261" s="14">
        <v>11</v>
      </c>
      <c r="I261" s="14">
        <v>290.38</v>
      </c>
      <c r="J261" s="14">
        <v>3194.18</v>
      </c>
      <c r="K261" s="14">
        <v>2157.65</v>
      </c>
      <c r="L261" s="14">
        <v>1036.53</v>
      </c>
      <c r="M261" s="14" t="s">
        <v>22</v>
      </c>
      <c r="N261" s="15" t="s">
        <v>26</v>
      </c>
    </row>
    <row r="262" spans="1:14" x14ac:dyDescent="0.3">
      <c r="A262" s="8">
        <v>10261</v>
      </c>
      <c r="B262" s="9">
        <v>46005</v>
      </c>
      <c r="C262" s="10" t="s">
        <v>17</v>
      </c>
      <c r="D262" s="10" t="s">
        <v>18</v>
      </c>
      <c r="E262" s="10" t="s">
        <v>29</v>
      </c>
      <c r="F262" s="10" t="s">
        <v>295</v>
      </c>
      <c r="G262" s="10" t="s">
        <v>25</v>
      </c>
      <c r="H262" s="10">
        <v>4</v>
      </c>
      <c r="I262" s="10">
        <v>191.33</v>
      </c>
      <c r="J262" s="10">
        <v>765.32</v>
      </c>
      <c r="K262" s="10">
        <v>602.98</v>
      </c>
      <c r="L262" s="10">
        <v>162.34</v>
      </c>
      <c r="M262" s="10" t="s">
        <v>22</v>
      </c>
      <c r="N262" s="11" t="s">
        <v>26</v>
      </c>
    </row>
    <row r="263" spans="1:14" x14ac:dyDescent="0.3">
      <c r="A263" s="12">
        <v>10262</v>
      </c>
      <c r="B263" s="13">
        <v>45978</v>
      </c>
      <c r="C263" s="14" t="s">
        <v>17</v>
      </c>
      <c r="D263" s="14" t="s">
        <v>32</v>
      </c>
      <c r="E263" s="14" t="s">
        <v>49</v>
      </c>
      <c r="F263" s="14" t="s">
        <v>296</v>
      </c>
      <c r="G263" s="14" t="s">
        <v>14</v>
      </c>
      <c r="H263" s="14">
        <v>2</v>
      </c>
      <c r="I263" s="14">
        <v>638.55999999999995</v>
      </c>
      <c r="J263" s="14">
        <v>1277.1199999999999</v>
      </c>
      <c r="K263" s="14">
        <v>805.62</v>
      </c>
      <c r="L263" s="14">
        <v>471.5</v>
      </c>
      <c r="M263" s="14" t="s">
        <v>15</v>
      </c>
      <c r="N263" s="15" t="s">
        <v>46</v>
      </c>
    </row>
    <row r="264" spans="1:14" x14ac:dyDescent="0.3">
      <c r="A264" s="8">
        <v>10263</v>
      </c>
      <c r="B264" s="9">
        <v>45715</v>
      </c>
      <c r="C264" s="10" t="s">
        <v>23</v>
      </c>
      <c r="D264" s="10" t="s">
        <v>18</v>
      </c>
      <c r="E264" s="10" t="s">
        <v>35</v>
      </c>
      <c r="F264" s="10" t="s">
        <v>297</v>
      </c>
      <c r="G264" s="10" t="s">
        <v>31</v>
      </c>
      <c r="H264" s="10">
        <v>16</v>
      </c>
      <c r="I264" s="10">
        <v>1176.99</v>
      </c>
      <c r="J264" s="10">
        <v>18831.84</v>
      </c>
      <c r="K264" s="10">
        <v>9830.5300000000007</v>
      </c>
      <c r="L264" s="10">
        <v>9001.31</v>
      </c>
      <c r="M264" s="10" t="s">
        <v>22</v>
      </c>
      <c r="N264" s="11" t="s">
        <v>26</v>
      </c>
    </row>
    <row r="265" spans="1:14" x14ac:dyDescent="0.3">
      <c r="A265" s="12">
        <v>10264</v>
      </c>
      <c r="B265" s="13">
        <v>45899</v>
      </c>
      <c r="C265" s="14" t="s">
        <v>41</v>
      </c>
      <c r="D265" s="14" t="s">
        <v>11</v>
      </c>
      <c r="E265" s="14" t="s">
        <v>52</v>
      </c>
      <c r="F265" s="14" t="s">
        <v>298</v>
      </c>
      <c r="G265" s="14" t="s">
        <v>31</v>
      </c>
      <c r="H265" s="14">
        <v>15</v>
      </c>
      <c r="I265" s="14">
        <v>782.01</v>
      </c>
      <c r="J265" s="14">
        <v>11730.15</v>
      </c>
      <c r="K265" s="14">
        <v>6198.23</v>
      </c>
      <c r="L265" s="14">
        <v>5531.92</v>
      </c>
      <c r="M265" s="14" t="s">
        <v>28</v>
      </c>
      <c r="N265" s="15" t="s">
        <v>46</v>
      </c>
    </row>
    <row r="266" spans="1:14" x14ac:dyDescent="0.3">
      <c r="A266" s="8">
        <v>10265</v>
      </c>
      <c r="B266" s="9">
        <v>45869</v>
      </c>
      <c r="C266" s="10" t="s">
        <v>10</v>
      </c>
      <c r="D266" s="10" t="s">
        <v>11</v>
      </c>
      <c r="E266" s="10" t="s">
        <v>38</v>
      </c>
      <c r="F266" s="10" t="s">
        <v>299</v>
      </c>
      <c r="G266" s="10" t="s">
        <v>37</v>
      </c>
      <c r="H266" s="10">
        <v>9</v>
      </c>
      <c r="I266" s="10">
        <v>1412.13</v>
      </c>
      <c r="J266" s="10">
        <v>12709.17</v>
      </c>
      <c r="K266" s="10">
        <v>9424</v>
      </c>
      <c r="L266" s="10">
        <v>3285.17</v>
      </c>
      <c r="M266" s="10" t="s">
        <v>15</v>
      </c>
      <c r="N266" s="11" t="s">
        <v>16</v>
      </c>
    </row>
    <row r="267" spans="1:14" x14ac:dyDescent="0.3">
      <c r="A267" s="12">
        <v>10266</v>
      </c>
      <c r="B267" s="13">
        <v>45717</v>
      </c>
      <c r="C267" s="14" t="s">
        <v>41</v>
      </c>
      <c r="D267" s="14" t="s">
        <v>11</v>
      </c>
      <c r="E267" s="14" t="s">
        <v>52</v>
      </c>
      <c r="F267" s="14" t="s">
        <v>300</v>
      </c>
      <c r="G267" s="14" t="s">
        <v>21</v>
      </c>
      <c r="H267" s="14">
        <v>8</v>
      </c>
      <c r="I267" s="14">
        <v>534.36</v>
      </c>
      <c r="J267" s="14">
        <v>4274.88</v>
      </c>
      <c r="K267" s="14">
        <v>3273.8</v>
      </c>
      <c r="L267" s="14">
        <v>1001.08</v>
      </c>
      <c r="M267" s="14" t="s">
        <v>22</v>
      </c>
      <c r="N267" s="15" t="s">
        <v>46</v>
      </c>
    </row>
    <row r="268" spans="1:14" x14ac:dyDescent="0.3">
      <c r="A268" s="8">
        <v>10267</v>
      </c>
      <c r="B268" s="9">
        <v>46022</v>
      </c>
      <c r="C268" s="10" t="s">
        <v>17</v>
      </c>
      <c r="D268" s="10" t="s">
        <v>18</v>
      </c>
      <c r="E268" s="10" t="s">
        <v>29</v>
      </c>
      <c r="F268" s="10" t="s">
        <v>301</v>
      </c>
      <c r="G268" s="10" t="s">
        <v>25</v>
      </c>
      <c r="H268" s="10">
        <v>4</v>
      </c>
      <c r="I268" s="10">
        <v>1477.19</v>
      </c>
      <c r="J268" s="10">
        <v>5908.76</v>
      </c>
      <c r="K268" s="10">
        <v>4580.9399999999996</v>
      </c>
      <c r="L268" s="10">
        <v>1327.82</v>
      </c>
      <c r="M268" s="10" t="s">
        <v>22</v>
      </c>
      <c r="N268" s="11" t="s">
        <v>46</v>
      </c>
    </row>
    <row r="269" spans="1:14" x14ac:dyDescent="0.3">
      <c r="A269" s="12">
        <v>10268</v>
      </c>
      <c r="B269" s="13">
        <v>45196</v>
      </c>
      <c r="C269" s="14" t="s">
        <v>41</v>
      </c>
      <c r="D269" s="14" t="s">
        <v>18</v>
      </c>
      <c r="E269" s="14" t="s">
        <v>29</v>
      </c>
      <c r="F269" s="14" t="s">
        <v>145</v>
      </c>
      <c r="G269" s="14" t="s">
        <v>21</v>
      </c>
      <c r="H269" s="14">
        <v>11</v>
      </c>
      <c r="I269" s="14">
        <v>793.95</v>
      </c>
      <c r="J269" s="14">
        <v>8733.4500000000007</v>
      </c>
      <c r="K269" s="14">
        <v>5440.85</v>
      </c>
      <c r="L269" s="14">
        <v>3292.6</v>
      </c>
      <c r="M269" s="14" t="s">
        <v>22</v>
      </c>
      <c r="N269" s="15" t="s">
        <v>26</v>
      </c>
    </row>
    <row r="270" spans="1:14" x14ac:dyDescent="0.3">
      <c r="A270" s="8">
        <v>10269</v>
      </c>
      <c r="B270" s="9">
        <v>45793</v>
      </c>
      <c r="C270" s="10" t="s">
        <v>41</v>
      </c>
      <c r="D270" s="10" t="s">
        <v>18</v>
      </c>
      <c r="E270" s="10" t="s">
        <v>29</v>
      </c>
      <c r="F270" s="10" t="s">
        <v>302</v>
      </c>
      <c r="G270" s="10" t="s">
        <v>14</v>
      </c>
      <c r="H270" s="10">
        <v>18</v>
      </c>
      <c r="I270" s="10">
        <v>217.51</v>
      </c>
      <c r="J270" s="10">
        <v>3915.18</v>
      </c>
      <c r="K270" s="10">
        <v>2123.94</v>
      </c>
      <c r="L270" s="10">
        <v>1791.24</v>
      </c>
      <c r="M270" s="10" t="s">
        <v>15</v>
      </c>
      <c r="N270" s="11" t="s">
        <v>40</v>
      </c>
    </row>
    <row r="271" spans="1:14" x14ac:dyDescent="0.3">
      <c r="A271" s="12">
        <v>10270</v>
      </c>
      <c r="B271" s="13">
        <v>44583</v>
      </c>
      <c r="C271" s="14" t="s">
        <v>17</v>
      </c>
      <c r="D271" s="14" t="s">
        <v>11</v>
      </c>
      <c r="E271" s="14" t="s">
        <v>12</v>
      </c>
      <c r="F271" s="14" t="s">
        <v>303</v>
      </c>
      <c r="G271" s="14" t="s">
        <v>37</v>
      </c>
      <c r="H271" s="14">
        <v>13</v>
      </c>
      <c r="I271" s="14">
        <v>1387.37</v>
      </c>
      <c r="J271" s="14">
        <v>18035.810000000001</v>
      </c>
      <c r="K271" s="14">
        <v>15517.58</v>
      </c>
      <c r="L271" s="14">
        <v>2518.23</v>
      </c>
      <c r="M271" s="14" t="s">
        <v>28</v>
      </c>
      <c r="N271" s="15" t="s">
        <v>40</v>
      </c>
    </row>
    <row r="272" spans="1:14" x14ac:dyDescent="0.3">
      <c r="A272" s="8">
        <v>10271</v>
      </c>
      <c r="B272" s="9">
        <v>45968</v>
      </c>
      <c r="C272" s="10" t="s">
        <v>17</v>
      </c>
      <c r="D272" s="10" t="s">
        <v>11</v>
      </c>
      <c r="E272" s="10" t="s">
        <v>52</v>
      </c>
      <c r="F272" s="10" t="s">
        <v>304</v>
      </c>
      <c r="G272" s="10" t="s">
        <v>37</v>
      </c>
      <c r="H272" s="10">
        <v>8</v>
      </c>
      <c r="I272" s="10">
        <v>1304.1300000000001</v>
      </c>
      <c r="J272" s="10">
        <v>10433.040000000001</v>
      </c>
      <c r="K272" s="10">
        <v>9352.4500000000007</v>
      </c>
      <c r="L272" s="10">
        <v>1080.5899999999999</v>
      </c>
      <c r="M272" s="10" t="s">
        <v>22</v>
      </c>
      <c r="N272" s="11" t="s">
        <v>26</v>
      </c>
    </row>
    <row r="273" spans="1:14" x14ac:dyDescent="0.3">
      <c r="A273" s="12">
        <v>10272</v>
      </c>
      <c r="B273" s="13">
        <v>45878</v>
      </c>
      <c r="C273" s="14" t="s">
        <v>10</v>
      </c>
      <c r="D273" s="14" t="s">
        <v>11</v>
      </c>
      <c r="E273" s="14" t="s">
        <v>12</v>
      </c>
      <c r="F273" s="14" t="s">
        <v>305</v>
      </c>
      <c r="G273" s="14" t="s">
        <v>14</v>
      </c>
      <c r="H273" s="14">
        <v>4</v>
      </c>
      <c r="I273" s="14">
        <v>1194.6099999999999</v>
      </c>
      <c r="J273" s="14">
        <v>4778.4399999999996</v>
      </c>
      <c r="K273" s="14">
        <v>3514.73</v>
      </c>
      <c r="L273" s="14">
        <v>1263.71</v>
      </c>
      <c r="M273" s="14" t="s">
        <v>15</v>
      </c>
      <c r="N273" s="15" t="s">
        <v>16</v>
      </c>
    </row>
    <row r="274" spans="1:14" x14ac:dyDescent="0.3">
      <c r="A274" s="8">
        <v>10273</v>
      </c>
      <c r="B274" s="9">
        <v>45976</v>
      </c>
      <c r="C274" s="10" t="s">
        <v>41</v>
      </c>
      <c r="D274" s="10" t="s">
        <v>11</v>
      </c>
      <c r="E274" s="10" t="s">
        <v>12</v>
      </c>
      <c r="F274" s="10" t="s">
        <v>306</v>
      </c>
      <c r="G274" s="10" t="s">
        <v>37</v>
      </c>
      <c r="H274" s="10">
        <v>12</v>
      </c>
      <c r="I274" s="10">
        <v>244.22</v>
      </c>
      <c r="J274" s="10">
        <v>2930.64</v>
      </c>
      <c r="K274" s="10">
        <v>2396.37</v>
      </c>
      <c r="L274" s="10">
        <v>534.27</v>
      </c>
      <c r="M274" s="10" t="s">
        <v>28</v>
      </c>
      <c r="N274" s="11" t="s">
        <v>40</v>
      </c>
    </row>
    <row r="275" spans="1:14" x14ac:dyDescent="0.3">
      <c r="A275" s="12">
        <v>10274</v>
      </c>
      <c r="B275" s="13">
        <v>45703</v>
      </c>
      <c r="C275" s="14" t="s">
        <v>17</v>
      </c>
      <c r="D275" s="14" t="s">
        <v>18</v>
      </c>
      <c r="E275" s="14" t="s">
        <v>35</v>
      </c>
      <c r="F275" s="14" t="s">
        <v>307</v>
      </c>
      <c r="G275" s="14" t="s">
        <v>31</v>
      </c>
      <c r="H275" s="14">
        <v>3</v>
      </c>
      <c r="I275" s="14">
        <v>394.49</v>
      </c>
      <c r="J275" s="14">
        <v>1183.47</v>
      </c>
      <c r="K275" s="14">
        <v>1011.15</v>
      </c>
      <c r="L275" s="14">
        <v>172.32</v>
      </c>
      <c r="M275" s="14" t="s">
        <v>15</v>
      </c>
      <c r="N275" s="15" t="s">
        <v>26</v>
      </c>
    </row>
    <row r="276" spans="1:14" x14ac:dyDescent="0.3">
      <c r="A276" s="8">
        <v>10275</v>
      </c>
      <c r="B276" s="9">
        <v>45747</v>
      </c>
      <c r="C276" s="10" t="s">
        <v>10</v>
      </c>
      <c r="D276" s="10" t="s">
        <v>18</v>
      </c>
      <c r="E276" s="10" t="s">
        <v>29</v>
      </c>
      <c r="F276" s="10" t="s">
        <v>308</v>
      </c>
      <c r="G276" s="10" t="s">
        <v>14</v>
      </c>
      <c r="H276" s="10">
        <v>3</v>
      </c>
      <c r="I276" s="10">
        <v>1235.08</v>
      </c>
      <c r="J276" s="10">
        <v>3705.24</v>
      </c>
      <c r="K276" s="10">
        <v>2383.7199999999998</v>
      </c>
      <c r="L276" s="10">
        <v>1321.52</v>
      </c>
      <c r="M276" s="10" t="s">
        <v>15</v>
      </c>
      <c r="N276" s="11" t="s">
        <v>26</v>
      </c>
    </row>
    <row r="277" spans="1:14" x14ac:dyDescent="0.3">
      <c r="A277" s="12">
        <v>10276</v>
      </c>
      <c r="B277" s="13">
        <v>45833</v>
      </c>
      <c r="C277" s="14" t="s">
        <v>17</v>
      </c>
      <c r="D277" s="14" t="s">
        <v>11</v>
      </c>
      <c r="E277" s="14" t="s">
        <v>52</v>
      </c>
      <c r="F277" s="14" t="s">
        <v>309</v>
      </c>
      <c r="G277" s="14" t="s">
        <v>21</v>
      </c>
      <c r="H277" s="14">
        <v>1</v>
      </c>
      <c r="I277" s="14">
        <v>354.14</v>
      </c>
      <c r="J277" s="14">
        <v>354.14</v>
      </c>
      <c r="K277" s="14">
        <v>274.56</v>
      </c>
      <c r="L277" s="14">
        <v>79.58</v>
      </c>
      <c r="M277" s="14" t="s">
        <v>15</v>
      </c>
      <c r="N277" s="15" t="s">
        <v>26</v>
      </c>
    </row>
    <row r="278" spans="1:14" x14ac:dyDescent="0.3">
      <c r="A278" s="8">
        <v>10277</v>
      </c>
      <c r="B278" s="9">
        <v>45670</v>
      </c>
      <c r="C278" s="10" t="s">
        <v>10</v>
      </c>
      <c r="D278" s="10" t="s">
        <v>32</v>
      </c>
      <c r="E278" s="10" t="s">
        <v>33</v>
      </c>
      <c r="F278" s="10" t="s">
        <v>310</v>
      </c>
      <c r="G278" s="10" t="s">
        <v>51</v>
      </c>
      <c r="H278" s="10">
        <v>18</v>
      </c>
      <c r="I278" s="10">
        <v>933.11</v>
      </c>
      <c r="J278" s="10">
        <v>16795.98</v>
      </c>
      <c r="K278" s="10">
        <v>14247.7</v>
      </c>
      <c r="L278" s="10">
        <v>2548.2800000000002</v>
      </c>
      <c r="M278" s="10" t="s">
        <v>22</v>
      </c>
      <c r="N278" s="11" t="s">
        <v>16</v>
      </c>
    </row>
    <row r="279" spans="1:14" x14ac:dyDescent="0.3">
      <c r="A279" s="12">
        <v>10278</v>
      </c>
      <c r="B279" s="13">
        <v>45854</v>
      </c>
      <c r="C279" s="14" t="s">
        <v>10</v>
      </c>
      <c r="D279" s="14" t="s">
        <v>32</v>
      </c>
      <c r="E279" s="14" t="s">
        <v>33</v>
      </c>
      <c r="F279" s="14" t="s">
        <v>311</v>
      </c>
      <c r="G279" s="14" t="s">
        <v>21</v>
      </c>
      <c r="H279" s="14">
        <v>15</v>
      </c>
      <c r="I279" s="14">
        <v>668.76</v>
      </c>
      <c r="J279" s="14">
        <v>10031.4</v>
      </c>
      <c r="K279" s="14">
        <v>5404.06</v>
      </c>
      <c r="L279" s="14">
        <v>4627.34</v>
      </c>
      <c r="M279" s="14" t="s">
        <v>15</v>
      </c>
      <c r="N279" s="15" t="s">
        <v>26</v>
      </c>
    </row>
    <row r="280" spans="1:14" x14ac:dyDescent="0.3">
      <c r="A280" s="8">
        <v>10279</v>
      </c>
      <c r="B280" s="9">
        <v>45884</v>
      </c>
      <c r="C280" s="10" t="s">
        <v>17</v>
      </c>
      <c r="D280" s="10" t="s">
        <v>11</v>
      </c>
      <c r="E280" s="10" t="s">
        <v>12</v>
      </c>
      <c r="F280" s="10" t="s">
        <v>312</v>
      </c>
      <c r="G280" s="10" t="s">
        <v>14</v>
      </c>
      <c r="H280" s="10">
        <v>1</v>
      </c>
      <c r="I280" s="10">
        <v>748.54</v>
      </c>
      <c r="J280" s="10">
        <v>748.54</v>
      </c>
      <c r="K280" s="10">
        <v>575.74</v>
      </c>
      <c r="L280" s="10">
        <v>172.8</v>
      </c>
      <c r="M280" s="10" t="s">
        <v>15</v>
      </c>
      <c r="N280" s="11" t="s">
        <v>46</v>
      </c>
    </row>
    <row r="281" spans="1:14" x14ac:dyDescent="0.3">
      <c r="A281" s="12">
        <v>10280</v>
      </c>
      <c r="B281" s="13">
        <v>45813</v>
      </c>
      <c r="C281" s="14" t="s">
        <v>41</v>
      </c>
      <c r="D281" s="14" t="s">
        <v>11</v>
      </c>
      <c r="E281" s="14" t="s">
        <v>38</v>
      </c>
      <c r="F281" s="14" t="s">
        <v>313</v>
      </c>
      <c r="G281" s="14" t="s">
        <v>31</v>
      </c>
      <c r="H281" s="14">
        <v>10</v>
      </c>
      <c r="I281" s="14">
        <v>972.56</v>
      </c>
      <c r="J281" s="14">
        <v>9725.6</v>
      </c>
      <c r="K281" s="14">
        <v>8368.02</v>
      </c>
      <c r="L281" s="14">
        <v>1357.58</v>
      </c>
      <c r="M281" s="14" t="s">
        <v>28</v>
      </c>
      <c r="N281" s="15" t="s">
        <v>46</v>
      </c>
    </row>
    <row r="282" spans="1:14" x14ac:dyDescent="0.3">
      <c r="A282" s="8">
        <v>10281</v>
      </c>
      <c r="B282" s="9">
        <v>45767</v>
      </c>
      <c r="C282" s="10" t="s">
        <v>23</v>
      </c>
      <c r="D282" s="10" t="s">
        <v>32</v>
      </c>
      <c r="E282" s="10" t="s">
        <v>69</v>
      </c>
      <c r="F282" s="10" t="s">
        <v>314</v>
      </c>
      <c r="G282" s="10" t="s">
        <v>31</v>
      </c>
      <c r="H282" s="10">
        <v>16</v>
      </c>
      <c r="I282" s="10">
        <v>1230.1600000000001</v>
      </c>
      <c r="J282" s="10">
        <v>19682.560000000001</v>
      </c>
      <c r="K282" s="10">
        <v>17046.650000000001</v>
      </c>
      <c r="L282" s="10">
        <v>2635.91</v>
      </c>
      <c r="M282" s="10" t="s">
        <v>22</v>
      </c>
      <c r="N282" s="11" t="s">
        <v>40</v>
      </c>
    </row>
    <row r="283" spans="1:14" x14ac:dyDescent="0.3">
      <c r="A283" s="12">
        <v>10282</v>
      </c>
      <c r="B283" s="13">
        <v>45977</v>
      </c>
      <c r="C283" s="14" t="s">
        <v>23</v>
      </c>
      <c r="D283" s="14" t="s">
        <v>11</v>
      </c>
      <c r="E283" s="14" t="s">
        <v>12</v>
      </c>
      <c r="F283" s="14" t="s">
        <v>315</v>
      </c>
      <c r="G283" s="14" t="s">
        <v>25</v>
      </c>
      <c r="H283" s="14">
        <v>12</v>
      </c>
      <c r="I283" s="14">
        <v>568.35</v>
      </c>
      <c r="J283" s="14">
        <v>6820.2</v>
      </c>
      <c r="K283" s="14">
        <v>5982.32</v>
      </c>
      <c r="L283" s="14">
        <v>837.88</v>
      </c>
      <c r="M283" s="14" t="s">
        <v>28</v>
      </c>
      <c r="N283" s="15" t="s">
        <v>16</v>
      </c>
    </row>
    <row r="284" spans="1:14" x14ac:dyDescent="0.3">
      <c r="A284" s="8">
        <v>10283</v>
      </c>
      <c r="B284" s="9">
        <v>44329</v>
      </c>
      <c r="C284" s="10" t="s">
        <v>10</v>
      </c>
      <c r="D284" s="10" t="s">
        <v>11</v>
      </c>
      <c r="E284" s="10" t="s">
        <v>38</v>
      </c>
      <c r="F284" s="10" t="s">
        <v>316</v>
      </c>
      <c r="G284" s="10" t="s">
        <v>31</v>
      </c>
      <c r="H284" s="10">
        <v>19</v>
      </c>
      <c r="I284" s="10">
        <v>1314.83</v>
      </c>
      <c r="J284" s="10">
        <v>24981.77</v>
      </c>
      <c r="K284" s="10">
        <v>14979.81</v>
      </c>
      <c r="L284" s="10">
        <v>10001.959999999999</v>
      </c>
      <c r="M284" s="10" t="s">
        <v>22</v>
      </c>
      <c r="N284" s="11" t="s">
        <v>46</v>
      </c>
    </row>
    <row r="285" spans="1:14" x14ac:dyDescent="0.3">
      <c r="A285" s="12">
        <v>10284</v>
      </c>
      <c r="B285" s="13">
        <v>45766</v>
      </c>
      <c r="C285" s="14" t="s">
        <v>41</v>
      </c>
      <c r="D285" s="14" t="s">
        <v>18</v>
      </c>
      <c r="E285" s="14" t="s">
        <v>29</v>
      </c>
      <c r="F285" s="14" t="s">
        <v>317</v>
      </c>
      <c r="G285" s="14" t="s">
        <v>51</v>
      </c>
      <c r="H285" s="14">
        <v>14</v>
      </c>
      <c r="I285" s="14">
        <v>570.83000000000004</v>
      </c>
      <c r="J285" s="14">
        <v>7991.62</v>
      </c>
      <c r="K285" s="14">
        <v>5487.42</v>
      </c>
      <c r="L285" s="14">
        <v>2504.1999999999998</v>
      </c>
      <c r="M285" s="14" t="s">
        <v>28</v>
      </c>
      <c r="N285" s="15" t="s">
        <v>26</v>
      </c>
    </row>
    <row r="286" spans="1:14" x14ac:dyDescent="0.3">
      <c r="A286" s="8">
        <v>10285</v>
      </c>
      <c r="B286" s="9">
        <v>45793</v>
      </c>
      <c r="C286" s="10" t="s">
        <v>10</v>
      </c>
      <c r="D286" s="10" t="s">
        <v>11</v>
      </c>
      <c r="E286" s="10" t="s">
        <v>38</v>
      </c>
      <c r="F286" s="10" t="s">
        <v>318</v>
      </c>
      <c r="G286" s="10" t="s">
        <v>31</v>
      </c>
      <c r="H286" s="10">
        <v>18</v>
      </c>
      <c r="I286" s="10">
        <v>1288.06</v>
      </c>
      <c r="J286" s="10">
        <v>23185.08</v>
      </c>
      <c r="K286" s="10">
        <v>14706.38</v>
      </c>
      <c r="L286" s="10">
        <v>8478.7000000000007</v>
      </c>
      <c r="M286" s="10" t="s">
        <v>28</v>
      </c>
      <c r="N286" s="11" t="s">
        <v>40</v>
      </c>
    </row>
    <row r="287" spans="1:14" x14ac:dyDescent="0.3">
      <c r="A287" s="12">
        <v>10286</v>
      </c>
      <c r="B287" s="13">
        <v>45842</v>
      </c>
      <c r="C287" s="14" t="s">
        <v>41</v>
      </c>
      <c r="D287" s="14" t="s">
        <v>18</v>
      </c>
      <c r="E287" s="14" t="s">
        <v>35</v>
      </c>
      <c r="F287" s="14" t="s">
        <v>319</v>
      </c>
      <c r="G287" s="14" t="s">
        <v>14</v>
      </c>
      <c r="H287" s="14">
        <v>14</v>
      </c>
      <c r="I287" s="14">
        <v>835.04</v>
      </c>
      <c r="J287" s="14">
        <v>11690.56</v>
      </c>
      <c r="K287" s="14">
        <v>7958.97</v>
      </c>
      <c r="L287" s="14">
        <v>3731.59</v>
      </c>
      <c r="M287" s="14" t="s">
        <v>28</v>
      </c>
      <c r="N287" s="15" t="s">
        <v>46</v>
      </c>
    </row>
    <row r="288" spans="1:14" x14ac:dyDescent="0.3">
      <c r="A288" s="8">
        <v>10287</v>
      </c>
      <c r="B288" s="9">
        <v>46004</v>
      </c>
      <c r="C288" s="10" t="s">
        <v>10</v>
      </c>
      <c r="D288" s="10" t="s">
        <v>11</v>
      </c>
      <c r="E288" s="10" t="s">
        <v>12</v>
      </c>
      <c r="F288" s="10" t="s">
        <v>320</v>
      </c>
      <c r="G288" s="10" t="s">
        <v>37</v>
      </c>
      <c r="H288" s="10">
        <v>5</v>
      </c>
      <c r="I288" s="10">
        <v>1237.03</v>
      </c>
      <c r="J288" s="10">
        <v>6185.15</v>
      </c>
      <c r="K288" s="10">
        <v>4934.2</v>
      </c>
      <c r="L288" s="10">
        <v>1250.95</v>
      </c>
      <c r="M288" s="10" t="s">
        <v>15</v>
      </c>
      <c r="N288" s="11" t="s">
        <v>46</v>
      </c>
    </row>
    <row r="289" spans="1:14" x14ac:dyDescent="0.3">
      <c r="A289" s="12">
        <v>10288</v>
      </c>
      <c r="B289" s="13">
        <v>44509</v>
      </c>
      <c r="C289" s="14" t="s">
        <v>41</v>
      </c>
      <c r="D289" s="14" t="s">
        <v>11</v>
      </c>
      <c r="E289" s="14" t="s">
        <v>12</v>
      </c>
      <c r="F289" s="14" t="s">
        <v>321</v>
      </c>
      <c r="G289" s="14" t="s">
        <v>21</v>
      </c>
      <c r="H289" s="14">
        <v>14</v>
      </c>
      <c r="I289" s="14">
        <v>1087.26</v>
      </c>
      <c r="J289" s="14">
        <v>15221.64</v>
      </c>
      <c r="K289" s="14">
        <v>10044.69</v>
      </c>
      <c r="L289" s="14">
        <v>5176.95</v>
      </c>
      <c r="M289" s="14" t="s">
        <v>28</v>
      </c>
      <c r="N289" s="15" t="s">
        <v>40</v>
      </c>
    </row>
    <row r="290" spans="1:14" x14ac:dyDescent="0.3">
      <c r="A290" s="8">
        <v>10289</v>
      </c>
      <c r="B290" s="9">
        <v>46009</v>
      </c>
      <c r="C290" s="10" t="s">
        <v>41</v>
      </c>
      <c r="D290" s="10" t="s">
        <v>32</v>
      </c>
      <c r="E290" s="10" t="s">
        <v>49</v>
      </c>
      <c r="F290" s="10" t="s">
        <v>322</v>
      </c>
      <c r="G290" s="10" t="s">
        <v>37</v>
      </c>
      <c r="H290" s="10">
        <v>5</v>
      </c>
      <c r="I290" s="10">
        <v>676.1</v>
      </c>
      <c r="J290" s="10">
        <v>3380.5</v>
      </c>
      <c r="K290" s="10">
        <v>2636.18</v>
      </c>
      <c r="L290" s="10">
        <v>744.32</v>
      </c>
      <c r="M290" s="10" t="s">
        <v>15</v>
      </c>
      <c r="N290" s="11" t="s">
        <v>26</v>
      </c>
    </row>
    <row r="291" spans="1:14" x14ac:dyDescent="0.3">
      <c r="A291" s="12">
        <v>10290</v>
      </c>
      <c r="B291" s="13">
        <v>45898</v>
      </c>
      <c r="C291" s="14" t="s">
        <v>41</v>
      </c>
      <c r="D291" s="14" t="s">
        <v>32</v>
      </c>
      <c r="E291" s="14" t="s">
        <v>49</v>
      </c>
      <c r="F291" s="14" t="s">
        <v>323</v>
      </c>
      <c r="G291" s="14" t="s">
        <v>31</v>
      </c>
      <c r="H291" s="14">
        <v>1</v>
      </c>
      <c r="I291" s="14">
        <v>136.56</v>
      </c>
      <c r="J291" s="14">
        <v>136.56</v>
      </c>
      <c r="K291" s="14">
        <v>111.15</v>
      </c>
      <c r="L291" s="14">
        <v>25.41</v>
      </c>
      <c r="M291" s="14" t="s">
        <v>15</v>
      </c>
      <c r="N291" s="15" t="s">
        <v>26</v>
      </c>
    </row>
    <row r="292" spans="1:14" x14ac:dyDescent="0.3">
      <c r="A292" s="8">
        <v>10291</v>
      </c>
      <c r="B292" s="9">
        <v>45886</v>
      </c>
      <c r="C292" s="10" t="s">
        <v>41</v>
      </c>
      <c r="D292" s="10" t="s">
        <v>18</v>
      </c>
      <c r="E292" s="10" t="s">
        <v>35</v>
      </c>
      <c r="F292" s="10" t="s">
        <v>324</v>
      </c>
      <c r="G292" s="10" t="s">
        <v>21</v>
      </c>
      <c r="H292" s="10">
        <v>15</v>
      </c>
      <c r="I292" s="10">
        <v>923.42</v>
      </c>
      <c r="J292" s="10">
        <v>13851.3</v>
      </c>
      <c r="K292" s="10">
        <v>10556.62</v>
      </c>
      <c r="L292" s="10">
        <v>3294.68</v>
      </c>
      <c r="M292" s="10" t="s">
        <v>28</v>
      </c>
      <c r="N292" s="11" t="s">
        <v>16</v>
      </c>
    </row>
    <row r="293" spans="1:14" x14ac:dyDescent="0.3">
      <c r="A293" s="12">
        <v>10292</v>
      </c>
      <c r="B293" s="13">
        <v>45871</v>
      </c>
      <c r="C293" s="14" t="s">
        <v>41</v>
      </c>
      <c r="D293" s="14" t="s">
        <v>11</v>
      </c>
      <c r="E293" s="14" t="s">
        <v>38</v>
      </c>
      <c r="F293" s="14" t="s">
        <v>325</v>
      </c>
      <c r="G293" s="14" t="s">
        <v>31</v>
      </c>
      <c r="H293" s="14">
        <v>5</v>
      </c>
      <c r="I293" s="14">
        <v>535.82000000000005</v>
      </c>
      <c r="J293" s="14">
        <v>2679.1</v>
      </c>
      <c r="K293" s="14">
        <v>2368.67</v>
      </c>
      <c r="L293" s="14">
        <v>310.43</v>
      </c>
      <c r="M293" s="14" t="s">
        <v>22</v>
      </c>
      <c r="N293" s="15" t="s">
        <v>16</v>
      </c>
    </row>
    <row r="294" spans="1:14" x14ac:dyDescent="0.3">
      <c r="A294" s="8">
        <v>10293</v>
      </c>
      <c r="B294" s="9">
        <v>45084</v>
      </c>
      <c r="C294" s="10" t="s">
        <v>10</v>
      </c>
      <c r="D294" s="10" t="s">
        <v>11</v>
      </c>
      <c r="E294" s="10" t="s">
        <v>52</v>
      </c>
      <c r="F294" s="10" t="s">
        <v>326</v>
      </c>
      <c r="G294" s="10" t="s">
        <v>37</v>
      </c>
      <c r="H294" s="10">
        <v>16</v>
      </c>
      <c r="I294" s="10">
        <v>987.4</v>
      </c>
      <c r="J294" s="10">
        <v>15798.4</v>
      </c>
      <c r="K294" s="10">
        <v>11564.16</v>
      </c>
      <c r="L294" s="10">
        <v>4234.24</v>
      </c>
      <c r="M294" s="10" t="s">
        <v>15</v>
      </c>
      <c r="N294" s="11" t="s">
        <v>46</v>
      </c>
    </row>
    <row r="295" spans="1:14" x14ac:dyDescent="0.3">
      <c r="A295" s="12">
        <v>10294</v>
      </c>
      <c r="B295" s="13">
        <v>45754</v>
      </c>
      <c r="C295" s="14" t="s">
        <v>23</v>
      </c>
      <c r="D295" s="14" t="s">
        <v>32</v>
      </c>
      <c r="E295" s="14" t="s">
        <v>49</v>
      </c>
      <c r="F295" s="14" t="s">
        <v>327</v>
      </c>
      <c r="G295" s="14" t="s">
        <v>31</v>
      </c>
      <c r="H295" s="14">
        <v>20</v>
      </c>
      <c r="I295" s="14">
        <v>1129.8399999999999</v>
      </c>
      <c r="J295" s="14">
        <v>22596.799999999999</v>
      </c>
      <c r="K295" s="14">
        <v>14382.31</v>
      </c>
      <c r="L295" s="14">
        <v>8214.49</v>
      </c>
      <c r="M295" s="14" t="s">
        <v>22</v>
      </c>
      <c r="N295" s="15" t="s">
        <v>26</v>
      </c>
    </row>
    <row r="296" spans="1:14" x14ac:dyDescent="0.3">
      <c r="A296" s="8">
        <v>10295</v>
      </c>
      <c r="B296" s="9">
        <v>45802</v>
      </c>
      <c r="C296" s="10" t="s">
        <v>17</v>
      </c>
      <c r="D296" s="10" t="s">
        <v>18</v>
      </c>
      <c r="E296" s="10" t="s">
        <v>35</v>
      </c>
      <c r="F296" s="10" t="s">
        <v>328</v>
      </c>
      <c r="G296" s="10" t="s">
        <v>51</v>
      </c>
      <c r="H296" s="10">
        <v>12</v>
      </c>
      <c r="I296" s="10">
        <v>620.41</v>
      </c>
      <c r="J296" s="10">
        <v>7444.92</v>
      </c>
      <c r="K296" s="10">
        <v>5189.9399999999996</v>
      </c>
      <c r="L296" s="10">
        <v>2254.98</v>
      </c>
      <c r="M296" s="10" t="s">
        <v>22</v>
      </c>
      <c r="N296" s="11" t="s">
        <v>26</v>
      </c>
    </row>
    <row r="297" spans="1:14" x14ac:dyDescent="0.3">
      <c r="A297" s="12">
        <v>10296</v>
      </c>
      <c r="B297" s="13">
        <v>45893</v>
      </c>
      <c r="C297" s="14" t="s">
        <v>17</v>
      </c>
      <c r="D297" s="14" t="s">
        <v>32</v>
      </c>
      <c r="E297" s="14" t="s">
        <v>33</v>
      </c>
      <c r="F297" s="14" t="s">
        <v>329</v>
      </c>
      <c r="G297" s="14" t="s">
        <v>21</v>
      </c>
      <c r="H297" s="14">
        <v>10</v>
      </c>
      <c r="I297" s="14">
        <v>1481.11</v>
      </c>
      <c r="J297" s="14">
        <v>14811.1</v>
      </c>
      <c r="K297" s="14">
        <v>11910.96</v>
      </c>
      <c r="L297" s="14">
        <v>2900.14</v>
      </c>
      <c r="M297" s="14" t="s">
        <v>15</v>
      </c>
      <c r="N297" s="15" t="s">
        <v>46</v>
      </c>
    </row>
    <row r="298" spans="1:14" x14ac:dyDescent="0.3">
      <c r="A298" s="8">
        <v>10297</v>
      </c>
      <c r="B298" s="9">
        <v>45782</v>
      </c>
      <c r="C298" s="10" t="s">
        <v>41</v>
      </c>
      <c r="D298" s="10" t="s">
        <v>11</v>
      </c>
      <c r="E298" s="10" t="s">
        <v>38</v>
      </c>
      <c r="F298" s="10" t="s">
        <v>330</v>
      </c>
      <c r="G298" s="10" t="s">
        <v>14</v>
      </c>
      <c r="H298" s="10">
        <v>1</v>
      </c>
      <c r="I298" s="10">
        <v>757.47</v>
      </c>
      <c r="J298" s="10">
        <v>757.47</v>
      </c>
      <c r="K298" s="10">
        <v>645.64</v>
      </c>
      <c r="L298" s="10">
        <v>111.83</v>
      </c>
      <c r="M298" s="10" t="s">
        <v>28</v>
      </c>
      <c r="N298" s="11" t="s">
        <v>40</v>
      </c>
    </row>
    <row r="299" spans="1:14" x14ac:dyDescent="0.3">
      <c r="A299" s="12">
        <v>10298</v>
      </c>
      <c r="B299" s="13">
        <v>46335</v>
      </c>
      <c r="C299" s="14" t="s">
        <v>41</v>
      </c>
      <c r="D299" s="14" t="s">
        <v>11</v>
      </c>
      <c r="E299" s="14" t="s">
        <v>12</v>
      </c>
      <c r="F299" s="14" t="s">
        <v>331</v>
      </c>
      <c r="G299" s="14" t="s">
        <v>37</v>
      </c>
      <c r="H299" s="14">
        <v>11</v>
      </c>
      <c r="I299" s="14">
        <v>1129.46</v>
      </c>
      <c r="J299" s="14">
        <v>12424.06</v>
      </c>
      <c r="K299" s="14">
        <v>9648.7900000000009</v>
      </c>
      <c r="L299" s="14">
        <v>2775.27</v>
      </c>
      <c r="M299" s="14" t="s">
        <v>15</v>
      </c>
      <c r="N299" s="15" t="s">
        <v>46</v>
      </c>
    </row>
    <row r="300" spans="1:14" x14ac:dyDescent="0.3">
      <c r="A300" s="2">
        <v>10299</v>
      </c>
      <c r="B300" s="16">
        <v>45531</v>
      </c>
      <c r="C300" s="3" t="s">
        <v>10</v>
      </c>
      <c r="D300" s="3" t="s">
        <v>32</v>
      </c>
      <c r="E300" s="3" t="s">
        <v>69</v>
      </c>
      <c r="F300" s="3" t="s">
        <v>332</v>
      </c>
      <c r="G300" s="3" t="s">
        <v>25</v>
      </c>
      <c r="H300" s="3">
        <v>4</v>
      </c>
      <c r="I300" s="3">
        <v>1271.78</v>
      </c>
      <c r="J300" s="3">
        <v>5087.12</v>
      </c>
      <c r="K300" s="3">
        <v>3116.63</v>
      </c>
      <c r="L300" s="3">
        <v>1970.49</v>
      </c>
      <c r="M300" s="3" t="s">
        <v>22</v>
      </c>
      <c r="N300" s="4" t="s">
        <v>46</v>
      </c>
    </row>
    <row r="301" spans="1:14" x14ac:dyDescent="0.3">
      <c r="B301" s="1"/>
    </row>
    <row r="302" spans="1:14" x14ac:dyDescent="0.3">
      <c r="B302" s="1"/>
    </row>
    <row r="303" spans="1:14" x14ac:dyDescent="0.3">
      <c r="B303" s="1"/>
    </row>
    <row r="304" spans="1:14" x14ac:dyDescent="0.3">
      <c r="B304" s="1"/>
    </row>
    <row r="305" spans="2:2" x14ac:dyDescent="0.3">
      <c r="B305" s="1"/>
    </row>
    <row r="306" spans="2:2" x14ac:dyDescent="0.3">
      <c r="B306" s="1"/>
    </row>
    <row r="307" spans="2:2" x14ac:dyDescent="0.3">
      <c r="B307" s="1"/>
    </row>
    <row r="308" spans="2:2" x14ac:dyDescent="0.3">
      <c r="B308" s="1"/>
    </row>
    <row r="309" spans="2:2" x14ac:dyDescent="0.3">
      <c r="B309" s="1"/>
    </row>
    <row r="310" spans="2:2" x14ac:dyDescent="0.3">
      <c r="B310" s="1"/>
    </row>
    <row r="311" spans="2:2" x14ac:dyDescent="0.3">
      <c r="B311" s="1"/>
    </row>
    <row r="312" spans="2:2" x14ac:dyDescent="0.3">
      <c r="B312" s="1"/>
    </row>
    <row r="313" spans="2:2" x14ac:dyDescent="0.3">
      <c r="B313" s="1"/>
    </row>
    <row r="314" spans="2:2" x14ac:dyDescent="0.3">
      <c r="B314" s="1"/>
    </row>
    <row r="315" spans="2:2" x14ac:dyDescent="0.3">
      <c r="B315" s="1"/>
    </row>
    <row r="316" spans="2:2" x14ac:dyDescent="0.3">
      <c r="B316" s="1"/>
    </row>
    <row r="317" spans="2:2" x14ac:dyDescent="0.3">
      <c r="B317" s="1"/>
    </row>
    <row r="318" spans="2:2" x14ac:dyDescent="0.3">
      <c r="B318" s="1"/>
    </row>
    <row r="319" spans="2:2" x14ac:dyDescent="0.3">
      <c r="B319" s="1"/>
    </row>
    <row r="320" spans="2:2" x14ac:dyDescent="0.3">
      <c r="B320" s="1"/>
    </row>
    <row r="321" spans="2:2" x14ac:dyDescent="0.3">
      <c r="B321" s="1"/>
    </row>
    <row r="322" spans="2:2" x14ac:dyDescent="0.3">
      <c r="B322" s="1"/>
    </row>
    <row r="323" spans="2:2" x14ac:dyDescent="0.3">
      <c r="B323" s="1"/>
    </row>
    <row r="324" spans="2:2" x14ac:dyDescent="0.3">
      <c r="B324" s="1"/>
    </row>
    <row r="325" spans="2:2" x14ac:dyDescent="0.3">
      <c r="B325" s="1"/>
    </row>
    <row r="326" spans="2:2" x14ac:dyDescent="0.3">
      <c r="B326" s="1"/>
    </row>
    <row r="327" spans="2:2" x14ac:dyDescent="0.3">
      <c r="B327" s="1"/>
    </row>
    <row r="328" spans="2:2" x14ac:dyDescent="0.3">
      <c r="B328" s="1"/>
    </row>
    <row r="329" spans="2:2" x14ac:dyDescent="0.3">
      <c r="B329" s="1"/>
    </row>
    <row r="330" spans="2:2" x14ac:dyDescent="0.3">
      <c r="B330" s="1"/>
    </row>
    <row r="331" spans="2:2" x14ac:dyDescent="0.3">
      <c r="B331" s="1"/>
    </row>
    <row r="332" spans="2:2" x14ac:dyDescent="0.3">
      <c r="B332" s="1"/>
    </row>
    <row r="333" spans="2:2" x14ac:dyDescent="0.3">
      <c r="B333" s="1"/>
    </row>
    <row r="334" spans="2:2" x14ac:dyDescent="0.3">
      <c r="B334" s="1"/>
    </row>
    <row r="335" spans="2:2" x14ac:dyDescent="0.3">
      <c r="B335" s="1"/>
    </row>
    <row r="336" spans="2:2" x14ac:dyDescent="0.3">
      <c r="B336" s="1"/>
    </row>
    <row r="337" spans="2:2" x14ac:dyDescent="0.3">
      <c r="B337" s="1"/>
    </row>
    <row r="338" spans="2:2" x14ac:dyDescent="0.3">
      <c r="B338" s="1"/>
    </row>
    <row r="339" spans="2:2" x14ac:dyDescent="0.3">
      <c r="B339" s="1"/>
    </row>
    <row r="340" spans="2:2" x14ac:dyDescent="0.3">
      <c r="B340" s="1"/>
    </row>
    <row r="341" spans="2:2" x14ac:dyDescent="0.3">
      <c r="B341" s="1"/>
    </row>
    <row r="342" spans="2:2" x14ac:dyDescent="0.3">
      <c r="B342" s="1"/>
    </row>
    <row r="343" spans="2:2" x14ac:dyDescent="0.3">
      <c r="B343" s="1"/>
    </row>
    <row r="344" spans="2:2" x14ac:dyDescent="0.3">
      <c r="B344" s="1"/>
    </row>
    <row r="345" spans="2:2" x14ac:dyDescent="0.3">
      <c r="B345" s="1"/>
    </row>
    <row r="346" spans="2:2" x14ac:dyDescent="0.3">
      <c r="B346" s="1"/>
    </row>
    <row r="347" spans="2:2" x14ac:dyDescent="0.3">
      <c r="B347" s="1"/>
    </row>
    <row r="348" spans="2:2" x14ac:dyDescent="0.3">
      <c r="B348" s="1"/>
    </row>
    <row r="349" spans="2:2" x14ac:dyDescent="0.3">
      <c r="B349" s="1"/>
    </row>
    <row r="350" spans="2:2" x14ac:dyDescent="0.3">
      <c r="B350" s="1"/>
    </row>
    <row r="351" spans="2:2" x14ac:dyDescent="0.3">
      <c r="B351" s="1"/>
    </row>
    <row r="352" spans="2:2" x14ac:dyDescent="0.3">
      <c r="B352" s="1"/>
    </row>
    <row r="353" spans="2:2" x14ac:dyDescent="0.3">
      <c r="B353" s="1"/>
    </row>
    <row r="354" spans="2:2" x14ac:dyDescent="0.3">
      <c r="B354" s="1"/>
    </row>
    <row r="355" spans="2:2" x14ac:dyDescent="0.3">
      <c r="B355" s="1"/>
    </row>
    <row r="356" spans="2:2" x14ac:dyDescent="0.3">
      <c r="B356" s="1"/>
    </row>
    <row r="357" spans="2:2" x14ac:dyDescent="0.3">
      <c r="B357" s="1"/>
    </row>
    <row r="358" spans="2:2" x14ac:dyDescent="0.3">
      <c r="B358" s="1"/>
    </row>
    <row r="359" spans="2:2" x14ac:dyDescent="0.3">
      <c r="B359" s="1"/>
    </row>
    <row r="360" spans="2:2" x14ac:dyDescent="0.3">
      <c r="B360" s="1"/>
    </row>
    <row r="361" spans="2:2" x14ac:dyDescent="0.3">
      <c r="B361" s="1"/>
    </row>
    <row r="362" spans="2:2" x14ac:dyDescent="0.3">
      <c r="B362" s="1"/>
    </row>
    <row r="363" spans="2:2" x14ac:dyDescent="0.3">
      <c r="B363" s="1"/>
    </row>
    <row r="364" spans="2:2" x14ac:dyDescent="0.3">
      <c r="B364" s="1"/>
    </row>
    <row r="365" spans="2:2" x14ac:dyDescent="0.3">
      <c r="B365" s="1"/>
    </row>
    <row r="366" spans="2:2" x14ac:dyDescent="0.3">
      <c r="B366" s="1"/>
    </row>
    <row r="367" spans="2:2" x14ac:dyDescent="0.3">
      <c r="B367" s="1"/>
    </row>
    <row r="368" spans="2:2" x14ac:dyDescent="0.3">
      <c r="B368" s="1"/>
    </row>
    <row r="369" spans="2:2" x14ac:dyDescent="0.3">
      <c r="B369" s="1"/>
    </row>
    <row r="370" spans="2:2" x14ac:dyDescent="0.3">
      <c r="B370" s="1"/>
    </row>
    <row r="371" spans="2:2" x14ac:dyDescent="0.3">
      <c r="B371" s="1"/>
    </row>
    <row r="372" spans="2:2" x14ac:dyDescent="0.3">
      <c r="B372" s="1"/>
    </row>
    <row r="373" spans="2:2" x14ac:dyDescent="0.3">
      <c r="B373" s="1"/>
    </row>
    <row r="374" spans="2:2" x14ac:dyDescent="0.3">
      <c r="B374" s="1"/>
    </row>
    <row r="375" spans="2:2" x14ac:dyDescent="0.3">
      <c r="B375" s="1"/>
    </row>
    <row r="376" spans="2:2" x14ac:dyDescent="0.3">
      <c r="B376" s="1"/>
    </row>
    <row r="377" spans="2:2" x14ac:dyDescent="0.3">
      <c r="B377" s="1"/>
    </row>
    <row r="378" spans="2:2" x14ac:dyDescent="0.3">
      <c r="B378" s="1"/>
    </row>
    <row r="379" spans="2:2" x14ac:dyDescent="0.3">
      <c r="B379" s="1"/>
    </row>
    <row r="380" spans="2:2" x14ac:dyDescent="0.3">
      <c r="B380" s="1"/>
    </row>
    <row r="381" spans="2:2" x14ac:dyDescent="0.3">
      <c r="B381" s="1"/>
    </row>
    <row r="382" spans="2:2" x14ac:dyDescent="0.3">
      <c r="B382" s="1"/>
    </row>
    <row r="383" spans="2:2" x14ac:dyDescent="0.3">
      <c r="B383" s="1"/>
    </row>
    <row r="384" spans="2:2" x14ac:dyDescent="0.3">
      <c r="B384" s="1"/>
    </row>
    <row r="385" spans="2:2" x14ac:dyDescent="0.3">
      <c r="B385" s="1"/>
    </row>
    <row r="386" spans="2:2" x14ac:dyDescent="0.3">
      <c r="B386" s="1"/>
    </row>
    <row r="387" spans="2:2" x14ac:dyDescent="0.3">
      <c r="B387" s="1"/>
    </row>
    <row r="388" spans="2:2" x14ac:dyDescent="0.3">
      <c r="B388" s="1"/>
    </row>
    <row r="389" spans="2:2" x14ac:dyDescent="0.3">
      <c r="B389" s="1"/>
    </row>
    <row r="390" spans="2:2" x14ac:dyDescent="0.3">
      <c r="B390" s="1"/>
    </row>
    <row r="391" spans="2:2" x14ac:dyDescent="0.3">
      <c r="B391" s="1"/>
    </row>
    <row r="392" spans="2:2" x14ac:dyDescent="0.3">
      <c r="B392" s="1"/>
    </row>
    <row r="393" spans="2:2" x14ac:dyDescent="0.3">
      <c r="B393" s="1"/>
    </row>
    <row r="394" spans="2:2" x14ac:dyDescent="0.3">
      <c r="B394" s="1"/>
    </row>
    <row r="395" spans="2:2" x14ac:dyDescent="0.3">
      <c r="B395" s="1"/>
    </row>
    <row r="396" spans="2:2" x14ac:dyDescent="0.3">
      <c r="B396" s="1"/>
    </row>
    <row r="397" spans="2:2" x14ac:dyDescent="0.3">
      <c r="B397" s="1"/>
    </row>
    <row r="398" spans="2:2" x14ac:dyDescent="0.3">
      <c r="B398" s="1"/>
    </row>
    <row r="399" spans="2:2" x14ac:dyDescent="0.3">
      <c r="B399" s="1"/>
    </row>
    <row r="400" spans="2:2" x14ac:dyDescent="0.3">
      <c r="B400" s="1"/>
    </row>
    <row r="401" spans="2:2" x14ac:dyDescent="0.3">
      <c r="B401"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9C4C5-5000-4692-BE68-615CD618A5B6}">
  <dimension ref="A1:I25"/>
  <sheetViews>
    <sheetView zoomScale="81" workbookViewId="0">
      <selection activeCell="B16" sqref="B16"/>
    </sheetView>
  </sheetViews>
  <sheetFormatPr defaultRowHeight="14.4" x14ac:dyDescent="0.3"/>
  <cols>
    <col min="1" max="1" width="13.109375" bestFit="1" customWidth="1"/>
    <col min="2" max="2" width="12.109375" bestFit="1" customWidth="1"/>
    <col min="3" max="3" width="12" bestFit="1" customWidth="1"/>
    <col min="4" max="4" width="13.109375" bestFit="1" customWidth="1"/>
    <col min="5" max="5" width="12.109375" bestFit="1" customWidth="1"/>
    <col min="6" max="6" width="15.5546875" bestFit="1" customWidth="1"/>
    <col min="7" max="8" width="10.33203125" bestFit="1" customWidth="1"/>
    <col min="9" max="9" width="15.109375" bestFit="1" customWidth="1"/>
    <col min="10" max="10" width="15.5546875" bestFit="1" customWidth="1"/>
    <col min="11" max="14" width="16" bestFit="1" customWidth="1"/>
    <col min="15" max="15" width="15.33203125" bestFit="1" customWidth="1"/>
    <col min="16" max="307" width="16" bestFit="1" customWidth="1"/>
    <col min="308" max="308" width="11.109375" bestFit="1" customWidth="1"/>
  </cols>
  <sheetData>
    <row r="1" spans="1:5" x14ac:dyDescent="0.3">
      <c r="B1">
        <v>1</v>
      </c>
    </row>
    <row r="2" spans="1:5" x14ac:dyDescent="0.3">
      <c r="A2" s="17" t="s">
        <v>337</v>
      </c>
      <c r="B2" t="s">
        <v>339</v>
      </c>
      <c r="D2">
        <v>2</v>
      </c>
    </row>
    <row r="3" spans="1:5" x14ac:dyDescent="0.3">
      <c r="A3" s="18" t="s">
        <v>19</v>
      </c>
      <c r="B3" s="21">
        <v>3635.83</v>
      </c>
      <c r="D3" s="17" t="s">
        <v>337</v>
      </c>
      <c r="E3" t="s">
        <v>340</v>
      </c>
    </row>
    <row r="4" spans="1:5" x14ac:dyDescent="0.3">
      <c r="A4" s="18" t="s">
        <v>35</v>
      </c>
      <c r="B4" s="21">
        <v>21504.27</v>
      </c>
      <c r="D4" s="18" t="s">
        <v>46</v>
      </c>
      <c r="E4">
        <v>65</v>
      </c>
    </row>
    <row r="5" spans="1:5" x14ac:dyDescent="0.3">
      <c r="A5" s="18" t="s">
        <v>69</v>
      </c>
      <c r="B5" s="21">
        <v>2219.23</v>
      </c>
      <c r="D5" s="18" t="s">
        <v>26</v>
      </c>
      <c r="E5">
        <v>96</v>
      </c>
    </row>
    <row r="6" spans="1:5" x14ac:dyDescent="0.3">
      <c r="A6" s="18" t="s">
        <v>33</v>
      </c>
      <c r="B6" s="21">
        <v>7393.85</v>
      </c>
      <c r="D6" s="18" t="s">
        <v>40</v>
      </c>
      <c r="E6">
        <v>73</v>
      </c>
    </row>
    <row r="7" spans="1:5" x14ac:dyDescent="0.3">
      <c r="A7" s="18" t="s">
        <v>38</v>
      </c>
      <c r="B7" s="21">
        <v>256.77</v>
      </c>
      <c r="D7" s="18" t="s">
        <v>16</v>
      </c>
      <c r="E7">
        <v>65</v>
      </c>
    </row>
    <row r="8" spans="1:5" x14ac:dyDescent="0.3">
      <c r="A8" s="18" t="s">
        <v>12</v>
      </c>
      <c r="B8" s="21">
        <v>10763.42</v>
      </c>
      <c r="D8" s="18" t="s">
        <v>338</v>
      </c>
      <c r="E8">
        <v>299</v>
      </c>
    </row>
    <row r="9" spans="1:5" x14ac:dyDescent="0.3">
      <c r="A9" s="18" t="s">
        <v>52</v>
      </c>
      <c r="B9" s="21">
        <v>1268.1199999999999</v>
      </c>
    </row>
    <row r="10" spans="1:5" x14ac:dyDescent="0.3">
      <c r="A10" s="18" t="s">
        <v>29</v>
      </c>
      <c r="B10" s="21">
        <v>2107.06</v>
      </c>
      <c r="D10" s="17" t="s">
        <v>337</v>
      </c>
      <c r="E10" t="s">
        <v>343</v>
      </c>
    </row>
    <row r="11" spans="1:5" x14ac:dyDescent="0.3">
      <c r="A11" s="18" t="s">
        <v>338</v>
      </c>
      <c r="B11" s="21">
        <v>49148.549999999996</v>
      </c>
      <c r="D11" s="18" t="s">
        <v>28</v>
      </c>
      <c r="E11" s="21">
        <v>72</v>
      </c>
    </row>
    <row r="12" spans="1:5" x14ac:dyDescent="0.3">
      <c r="D12" s="18" t="s">
        <v>22</v>
      </c>
      <c r="E12" s="21">
        <v>55</v>
      </c>
    </row>
    <row r="13" spans="1:5" x14ac:dyDescent="0.3">
      <c r="B13">
        <v>3</v>
      </c>
      <c r="D13" s="18" t="s">
        <v>15</v>
      </c>
      <c r="E13" s="21">
        <v>71</v>
      </c>
    </row>
    <row r="14" spans="1:5" x14ac:dyDescent="0.3">
      <c r="A14" s="17" t="s">
        <v>337</v>
      </c>
      <c r="B14" t="s">
        <v>342</v>
      </c>
      <c r="D14" s="18" t="s">
        <v>338</v>
      </c>
      <c r="E14" s="21">
        <v>198</v>
      </c>
    </row>
    <row r="15" spans="1:5" x14ac:dyDescent="0.3">
      <c r="A15" s="18" t="s">
        <v>32</v>
      </c>
      <c r="B15" s="20">
        <v>24667.23</v>
      </c>
    </row>
    <row r="16" spans="1:5" x14ac:dyDescent="0.3">
      <c r="A16" s="18" t="s">
        <v>18</v>
      </c>
      <c r="B16" s="20">
        <v>67544.23</v>
      </c>
    </row>
    <row r="17" spans="1:9" x14ac:dyDescent="0.3">
      <c r="A17" s="18" t="s">
        <v>11</v>
      </c>
      <c r="B17" s="20">
        <v>33693.06</v>
      </c>
      <c r="I17" t="s">
        <v>341</v>
      </c>
    </row>
    <row r="18" spans="1:9" x14ac:dyDescent="0.3">
      <c r="A18" s="18" t="s">
        <v>338</v>
      </c>
      <c r="B18" s="20">
        <v>125904.51999999999</v>
      </c>
      <c r="I18" s="21">
        <v>22</v>
      </c>
    </row>
    <row r="20" spans="1:9" x14ac:dyDescent="0.3">
      <c r="A20" s="17" t="s">
        <v>337</v>
      </c>
      <c r="B20" t="s">
        <v>340</v>
      </c>
    </row>
    <row r="21" spans="1:9" x14ac:dyDescent="0.3">
      <c r="A21" s="18" t="s">
        <v>46</v>
      </c>
      <c r="B21" s="21">
        <v>5</v>
      </c>
    </row>
    <row r="22" spans="1:9" x14ac:dyDescent="0.3">
      <c r="A22" s="18" t="s">
        <v>26</v>
      </c>
      <c r="B22" s="21">
        <v>8</v>
      </c>
      <c r="I22" t="s">
        <v>343</v>
      </c>
    </row>
    <row r="23" spans="1:9" x14ac:dyDescent="0.3">
      <c r="A23" s="18" t="s">
        <v>40</v>
      </c>
      <c r="B23" s="21">
        <v>4</v>
      </c>
      <c r="E23" t="s">
        <v>339</v>
      </c>
      <c r="I23" s="21">
        <v>198</v>
      </c>
    </row>
    <row r="24" spans="1:9" x14ac:dyDescent="0.3">
      <c r="A24" s="18" t="s">
        <v>16</v>
      </c>
      <c r="B24" s="21">
        <v>5</v>
      </c>
      <c r="E24" s="19">
        <v>49148.549999999996</v>
      </c>
    </row>
    <row r="25" spans="1:9" x14ac:dyDescent="0.3">
      <c r="A25" s="18" t="s">
        <v>338</v>
      </c>
      <c r="B25" s="21">
        <v>22</v>
      </c>
    </row>
  </sheetData>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59458-B7D8-4A39-8596-78E2B1FC8371}">
  <dimension ref="A1"/>
  <sheetViews>
    <sheetView zoomScale="78" workbookViewId="0">
      <selection activeCell="R33" sqref="R33"/>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A6F5A-5FF5-49C4-A8E6-881821DE628E}">
  <dimension ref="A13"/>
  <sheetViews>
    <sheetView showGridLines="0" tabSelected="1" zoomScale="82" zoomScaleNormal="90" workbookViewId="0">
      <selection activeCell="A13" sqref="A13:XFD13"/>
    </sheetView>
  </sheetViews>
  <sheetFormatPr defaultRowHeight="14.4" x14ac:dyDescent="0.3"/>
  <sheetData>
    <row r="13" customFormat="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source data</vt:lpstr>
      <vt:lpstr>pivot table</vt:lpstr>
      <vt:lpstr>visualization</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Muskan Nikose</dc:creator>
  <cp:lastModifiedBy>Muskan Nikose</cp:lastModifiedBy>
  <dcterms:created xsi:type="dcterms:W3CDTF">2026-07-24T16:50:12Z</dcterms:created>
  <dcterms:modified xsi:type="dcterms:W3CDTF">2026-08-01T09:19:35Z</dcterms:modified>
</cp:coreProperties>
</file>